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Code\AITHUCCHIEN\Labs\Lab24\"/>
    </mc:Choice>
  </mc:AlternateContent>
  <xr:revisionPtr revIDLastSave="0" documentId="13_ncr:1_{602BE48A-692B-4512-942B-86F9E71AFD65}" xr6:coauthVersionLast="47" xr6:coauthVersionMax="47" xr10:uidLastSave="{00000000-0000-0000-0000-000000000000}"/>
  <bookViews>
    <workbookView xWindow="-108" yWindow="-108" windowWidth="23256" windowHeight="12576" tabRatio="500" activeTab="2" xr2:uid="{00000000-000D-0000-FFFF-FFFF00000000}"/>
  </bookViews>
  <sheets>
    <sheet name="0_Hướng dẫn" sheetId="1" r:id="rId1"/>
    <sheet name="0_Đầu vào" sheetId="2" r:id="rId2"/>
    <sheet name="A_Tài chính căn bản" sheetId="3" r:id="rId3"/>
    <sheet name="1_Chi phí mỗi việc" sheetId="4" r:id="rId4"/>
    <sheet name="2_Định giá" sheetId="5" r:id="rId5"/>
    <sheet name="3_Giả định" sheetId="6" r:id="rId6"/>
    <sheet name="4_Chỉ số mỗi khách" sheetId="7" r:id="rId7"/>
    <sheet name="5_Dòng tiền &amp; hiệu quả" sheetId="8" r:id="rId8"/>
    <sheet name="6_Hiệu quả nội bộ" sheetId="9" r:id="rId9"/>
    <sheet name="7_Quyết định" sheetId="10" r:id="rId10"/>
    <sheet name="8_Thang điểm" sheetId="11" r:id="rId11"/>
    <sheet name="9_Số tham khảo" sheetId="12" r:id="rId12"/>
  </sheets>
  <calcPr calcId="18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11" i="11" l="1"/>
  <c r="B11" i="11"/>
  <c r="B9" i="10"/>
  <c r="C9" i="10" s="1"/>
  <c r="D18" i="9"/>
  <c r="C18" i="9"/>
  <c r="B18" i="9"/>
  <c r="D17" i="9"/>
  <c r="C17" i="9"/>
  <c r="B17" i="9"/>
  <c r="B21" i="9" s="1"/>
  <c r="D16" i="9"/>
  <c r="C16" i="9"/>
  <c r="B16" i="9"/>
  <c r="N134" i="8"/>
  <c r="G128" i="8"/>
  <c r="T122" i="8"/>
  <c r="M116" i="8"/>
  <c r="B108" i="8"/>
  <c r="Q104" i="8"/>
  <c r="H98" i="8"/>
  <c r="D98" i="8"/>
  <c r="Z92" i="8"/>
  <c r="R92" i="8"/>
  <c r="P92" i="8"/>
  <c r="N92" i="8"/>
  <c r="F92" i="8"/>
  <c r="D92" i="8"/>
  <c r="K88" i="8"/>
  <c r="J88" i="8"/>
  <c r="I88" i="8"/>
  <c r="B142" i="8" s="1"/>
  <c r="B144" i="8" s="1"/>
  <c r="H88" i="8"/>
  <c r="G88" i="8"/>
  <c r="F88" i="8"/>
  <c r="E88" i="8"/>
  <c r="D88" i="8"/>
  <c r="K87" i="8"/>
  <c r="J87" i="8"/>
  <c r="I87" i="8"/>
  <c r="B136" i="8" s="1"/>
  <c r="H87" i="8"/>
  <c r="G87" i="8"/>
  <c r="F87" i="8"/>
  <c r="E87" i="8"/>
  <c r="X134" i="8" s="1"/>
  <c r="D87" i="8"/>
  <c r="K86" i="8"/>
  <c r="J86" i="8"/>
  <c r="I86" i="8"/>
  <c r="B130" i="8" s="1"/>
  <c r="H86" i="8"/>
  <c r="G86" i="8"/>
  <c r="F86" i="8"/>
  <c r="E86" i="8"/>
  <c r="C128" i="8" s="1"/>
  <c r="D86" i="8"/>
  <c r="S128" i="8" s="1"/>
  <c r="K85" i="8"/>
  <c r="J85" i="8"/>
  <c r="I85" i="8"/>
  <c r="B124" i="8" s="1"/>
  <c r="B126" i="8" s="1"/>
  <c r="H85" i="8"/>
  <c r="G85" i="8"/>
  <c r="F85" i="8"/>
  <c r="E85" i="8"/>
  <c r="D85" i="8"/>
  <c r="J122" i="8" s="1"/>
  <c r="K84" i="8"/>
  <c r="J84" i="8"/>
  <c r="I84" i="8"/>
  <c r="B118" i="8" s="1"/>
  <c r="B120" i="8" s="1"/>
  <c r="H84" i="8"/>
  <c r="G84" i="8"/>
  <c r="C61" i="8" s="1"/>
  <c r="F84" i="8"/>
  <c r="E84" i="8"/>
  <c r="I116" i="8" s="1"/>
  <c r="D84" i="8"/>
  <c r="Y116" i="8" s="1"/>
  <c r="K83" i="8"/>
  <c r="J83" i="8"/>
  <c r="I83" i="8"/>
  <c r="B112" i="8" s="1"/>
  <c r="H83" i="8"/>
  <c r="G83" i="8"/>
  <c r="F83" i="8"/>
  <c r="E83" i="8"/>
  <c r="D83" i="8"/>
  <c r="C110" i="8" s="1"/>
  <c r="K82" i="8"/>
  <c r="J82" i="8"/>
  <c r="I82" i="8"/>
  <c r="B106" i="8" s="1"/>
  <c r="H82" i="8"/>
  <c r="G82" i="8"/>
  <c r="F82" i="8"/>
  <c r="E82" i="8"/>
  <c r="S104" i="8" s="1"/>
  <c r="D82" i="8"/>
  <c r="K81" i="8"/>
  <c r="J81" i="8"/>
  <c r="I81" i="8"/>
  <c r="B100" i="8" s="1"/>
  <c r="H81" i="8"/>
  <c r="G81" i="8"/>
  <c r="F81" i="8"/>
  <c r="E81" i="8"/>
  <c r="V98" i="8" s="1"/>
  <c r="D81" i="8"/>
  <c r="I98" i="8" s="1"/>
  <c r="K80" i="8"/>
  <c r="J80" i="8"/>
  <c r="I80" i="8"/>
  <c r="B94" i="8" s="1"/>
  <c r="H80" i="8"/>
  <c r="G80" i="8"/>
  <c r="F80" i="8"/>
  <c r="E80" i="8"/>
  <c r="X92" i="8" s="1"/>
  <c r="D80" i="8"/>
  <c r="Q92" i="8" s="1"/>
  <c r="B77" i="8"/>
  <c r="B76" i="8"/>
  <c r="B75" i="8"/>
  <c r="B74" i="8"/>
  <c r="C64" i="8"/>
  <c r="B64" i="8"/>
  <c r="C63" i="8"/>
  <c r="B63" i="8"/>
  <c r="C62" i="8"/>
  <c r="B62" i="8"/>
  <c r="B61" i="8"/>
  <c r="B60" i="8"/>
  <c r="B39" i="8"/>
  <c r="B38" i="8"/>
  <c r="B37" i="8"/>
  <c r="Z36" i="8"/>
  <c r="Y36" i="8"/>
  <c r="X36" i="8"/>
  <c r="W36" i="8"/>
  <c r="V36" i="8"/>
  <c r="U36" i="8"/>
  <c r="T36" i="8"/>
  <c r="S36" i="8"/>
  <c r="R36" i="8"/>
  <c r="Q36" i="8"/>
  <c r="P36" i="8"/>
  <c r="O36" i="8"/>
  <c r="N36" i="8"/>
  <c r="M36" i="8"/>
  <c r="L36" i="8"/>
  <c r="K36" i="8"/>
  <c r="J36" i="8"/>
  <c r="I36" i="8"/>
  <c r="H36" i="8"/>
  <c r="G36" i="8"/>
  <c r="F36" i="8"/>
  <c r="E36" i="8"/>
  <c r="D36" i="8"/>
  <c r="C36" i="8"/>
  <c r="X35" i="8"/>
  <c r="L35" i="8"/>
  <c r="Z30" i="8"/>
  <c r="Z35" i="8" s="1"/>
  <c r="Y30" i="8"/>
  <c r="Y35" i="8" s="1"/>
  <c r="X30" i="8"/>
  <c r="W30" i="8"/>
  <c r="W35" i="8" s="1"/>
  <c r="V30" i="8"/>
  <c r="V35" i="8" s="1"/>
  <c r="U30" i="8"/>
  <c r="U35" i="8" s="1"/>
  <c r="T30" i="8"/>
  <c r="T35" i="8" s="1"/>
  <c r="S30" i="8"/>
  <c r="S35" i="8" s="1"/>
  <c r="R30" i="8"/>
  <c r="R35" i="8" s="1"/>
  <c r="Q30" i="8"/>
  <c r="Q35" i="8" s="1"/>
  <c r="P30" i="8"/>
  <c r="P35" i="8" s="1"/>
  <c r="O30" i="8"/>
  <c r="O35" i="8" s="1"/>
  <c r="N30" i="8"/>
  <c r="N35" i="8" s="1"/>
  <c r="M30" i="8"/>
  <c r="M35" i="8" s="1"/>
  <c r="L30" i="8"/>
  <c r="K30" i="8"/>
  <c r="K35" i="8" s="1"/>
  <c r="J30" i="8"/>
  <c r="J35" i="8" s="1"/>
  <c r="I30" i="8"/>
  <c r="I35" i="8" s="1"/>
  <c r="H30" i="8"/>
  <c r="H35" i="8" s="1"/>
  <c r="G30" i="8"/>
  <c r="G35" i="8" s="1"/>
  <c r="F30" i="8"/>
  <c r="F35" i="8" s="1"/>
  <c r="E30" i="8"/>
  <c r="E35" i="8" s="1"/>
  <c r="D30" i="8"/>
  <c r="D35" i="8" s="1"/>
  <c r="C30" i="8"/>
  <c r="C35" i="8" s="1"/>
  <c r="B25" i="8"/>
  <c r="Z24" i="8"/>
  <c r="Y24" i="8"/>
  <c r="X24" i="8"/>
  <c r="W24" i="8"/>
  <c r="V24" i="8"/>
  <c r="U24" i="8"/>
  <c r="T24" i="8"/>
  <c r="S24" i="8"/>
  <c r="R24" i="8"/>
  <c r="Q24" i="8"/>
  <c r="P24" i="8"/>
  <c r="O24" i="8"/>
  <c r="N24" i="8"/>
  <c r="M24" i="8"/>
  <c r="L24" i="8"/>
  <c r="K24" i="8"/>
  <c r="J24" i="8"/>
  <c r="I24" i="8"/>
  <c r="H24" i="8"/>
  <c r="G24" i="8"/>
  <c r="F24" i="8"/>
  <c r="E24" i="8"/>
  <c r="D24" i="8"/>
  <c r="C24" i="8"/>
  <c r="Y23" i="8"/>
  <c r="O23" i="8"/>
  <c r="M23" i="8"/>
  <c r="Z18" i="8"/>
  <c r="Z23" i="8" s="1"/>
  <c r="Y18" i="8"/>
  <c r="X18" i="8"/>
  <c r="X23" i="8" s="1"/>
  <c r="W18" i="8"/>
  <c r="W23" i="8" s="1"/>
  <c r="V18" i="8"/>
  <c r="V23" i="8" s="1"/>
  <c r="U18" i="8"/>
  <c r="U23" i="8" s="1"/>
  <c r="T18" i="8"/>
  <c r="T23" i="8" s="1"/>
  <c r="S18" i="8"/>
  <c r="S23" i="8" s="1"/>
  <c r="R18" i="8"/>
  <c r="R23" i="8" s="1"/>
  <c r="Q18" i="8"/>
  <c r="Q23" i="8" s="1"/>
  <c r="P18" i="8"/>
  <c r="P23" i="8" s="1"/>
  <c r="O18" i="8"/>
  <c r="N18" i="8"/>
  <c r="N23" i="8" s="1"/>
  <c r="M18" i="8"/>
  <c r="L18" i="8"/>
  <c r="L23" i="8" s="1"/>
  <c r="K18" i="8"/>
  <c r="K23" i="8" s="1"/>
  <c r="J18" i="8"/>
  <c r="J23" i="8" s="1"/>
  <c r="I18" i="8"/>
  <c r="I23" i="8" s="1"/>
  <c r="H18" i="8"/>
  <c r="H23" i="8" s="1"/>
  <c r="G18" i="8"/>
  <c r="G23" i="8" s="1"/>
  <c r="F18" i="8"/>
  <c r="F23" i="8" s="1"/>
  <c r="E18" i="8"/>
  <c r="E23" i="8" s="1"/>
  <c r="D18" i="8"/>
  <c r="D23" i="8" s="1"/>
  <c r="C18" i="8"/>
  <c r="C23" i="8" s="1"/>
  <c r="B15" i="8"/>
  <c r="B14" i="8"/>
  <c r="B13" i="8"/>
  <c r="Z12" i="8"/>
  <c r="Y12" i="8"/>
  <c r="X12" i="8"/>
  <c r="W12" i="8"/>
  <c r="V12" i="8"/>
  <c r="U12" i="8"/>
  <c r="T12" i="8"/>
  <c r="S12" i="8"/>
  <c r="R12" i="8"/>
  <c r="Q12" i="8"/>
  <c r="P12" i="8"/>
  <c r="O12" i="8"/>
  <c r="N12" i="8"/>
  <c r="M12" i="8"/>
  <c r="L12" i="8"/>
  <c r="K12" i="8"/>
  <c r="J12" i="8"/>
  <c r="I12" i="8"/>
  <c r="H12" i="8"/>
  <c r="G12" i="8"/>
  <c r="F12" i="8"/>
  <c r="E12" i="8"/>
  <c r="D12" i="8"/>
  <c r="C12" i="8"/>
  <c r="T11" i="8"/>
  <c r="R11" i="8"/>
  <c r="Q11" i="8"/>
  <c r="P11" i="8"/>
  <c r="M11" i="8"/>
  <c r="H11" i="8"/>
  <c r="F11" i="8"/>
  <c r="D11" i="8"/>
  <c r="Z6" i="8"/>
  <c r="Z11" i="8" s="1"/>
  <c r="Y6" i="8"/>
  <c r="Y11" i="8" s="1"/>
  <c r="X6" i="8"/>
  <c r="X11" i="8" s="1"/>
  <c r="W6" i="8"/>
  <c r="W11" i="8" s="1"/>
  <c r="V6" i="8"/>
  <c r="V11" i="8" s="1"/>
  <c r="U6" i="8"/>
  <c r="U11" i="8" s="1"/>
  <c r="T6" i="8"/>
  <c r="S6" i="8"/>
  <c r="S11" i="8" s="1"/>
  <c r="R6" i="8"/>
  <c r="Q6" i="8"/>
  <c r="P6" i="8"/>
  <c r="O6" i="8"/>
  <c r="O11" i="8" s="1"/>
  <c r="N6" i="8"/>
  <c r="N11" i="8" s="1"/>
  <c r="M6" i="8"/>
  <c r="L6" i="8"/>
  <c r="L11" i="8" s="1"/>
  <c r="K6" i="8"/>
  <c r="K11" i="8" s="1"/>
  <c r="J6" i="8"/>
  <c r="J11" i="8" s="1"/>
  <c r="I6" i="8"/>
  <c r="I11" i="8" s="1"/>
  <c r="H6" i="8"/>
  <c r="G6" i="8"/>
  <c r="G11" i="8" s="1"/>
  <c r="F6" i="8"/>
  <c r="E6" i="8"/>
  <c r="E11" i="8" s="1"/>
  <c r="D6" i="8"/>
  <c r="C6" i="8"/>
  <c r="C7" i="8" s="1"/>
  <c r="D10" i="7"/>
  <c r="C10" i="7"/>
  <c r="B10" i="7"/>
  <c r="D8" i="7"/>
  <c r="C8" i="7"/>
  <c r="B8" i="7"/>
  <c r="B22" i="6"/>
  <c r="B21" i="6"/>
  <c r="B30" i="5"/>
  <c r="C30" i="5" s="1"/>
  <c r="D30" i="5" s="1"/>
  <c r="B29" i="5"/>
  <c r="C29" i="5" s="1"/>
  <c r="D29" i="5" s="1"/>
  <c r="C17" i="5"/>
  <c r="B17" i="5"/>
  <c r="B18" i="5" s="1"/>
  <c r="G16" i="5"/>
  <c r="H16" i="5" s="1"/>
  <c r="D16" i="5"/>
  <c r="G15" i="5"/>
  <c r="D15" i="5"/>
  <c r="B88" i="8" s="1"/>
  <c r="B26" i="4"/>
  <c r="B19" i="5" s="1"/>
  <c r="B24" i="4"/>
  <c r="E16" i="5" s="1"/>
  <c r="B23" i="4"/>
  <c r="B22" i="4"/>
  <c r="B21" i="4"/>
  <c r="G89" i="3"/>
  <c r="G88" i="3"/>
  <c r="G87" i="3"/>
  <c r="G86" i="3"/>
  <c r="G72" i="3"/>
  <c r="G71" i="3"/>
  <c r="G70" i="3"/>
  <c r="G68" i="3"/>
  <c r="G67" i="3"/>
  <c r="G64" i="3"/>
  <c r="G62" i="3"/>
  <c r="G52" i="3"/>
  <c r="G51" i="3"/>
  <c r="G50" i="3"/>
  <c r="G46" i="3"/>
  <c r="G41" i="3"/>
  <c r="G33" i="3"/>
  <c r="F32" i="3"/>
  <c r="E32" i="3"/>
  <c r="D32" i="3"/>
  <c r="C32" i="3"/>
  <c r="G31" i="3"/>
  <c r="F31" i="3"/>
  <c r="G53" i="3" s="1"/>
  <c r="F30" i="3"/>
  <c r="G29" i="3"/>
  <c r="F29" i="3"/>
  <c r="F28" i="3"/>
  <c r="G27" i="3"/>
  <c r="F27" i="3"/>
  <c r="F26" i="3"/>
  <c r="G25" i="3"/>
  <c r="F25" i="3"/>
  <c r="F24" i="3"/>
  <c r="G23" i="3"/>
  <c r="F23" i="3"/>
  <c r="F22" i="3"/>
  <c r="F21" i="3"/>
  <c r="B12" i="2"/>
  <c r="D7" i="8" l="1"/>
  <c r="E30" i="5"/>
  <c r="F30" i="5" s="1"/>
  <c r="H15" i="5"/>
  <c r="B31" i="5"/>
  <c r="C31" i="5" s="1"/>
  <c r="D31" i="5" s="1"/>
  <c r="B25" i="4"/>
  <c r="B5" i="10" s="1"/>
  <c r="C5" i="10" s="1"/>
  <c r="B27" i="4"/>
  <c r="D110" i="8"/>
  <c r="Z110" i="8"/>
  <c r="P110" i="8"/>
  <c r="O110" i="8"/>
  <c r="D17" i="5"/>
  <c r="C11" i="8"/>
  <c r="C111" i="8"/>
  <c r="B138" i="8"/>
  <c r="E15" i="5"/>
  <c r="B27" i="8"/>
  <c r="B26" i="8"/>
  <c r="C129" i="8"/>
  <c r="N110" i="8"/>
  <c r="B137" i="8"/>
  <c r="D20" i="9"/>
  <c r="D19" i="9"/>
  <c r="D22" i="9" s="1"/>
  <c r="D21" i="9"/>
  <c r="F15" i="5"/>
  <c r="B96" i="8"/>
  <c r="B95" i="8"/>
  <c r="G17" i="5"/>
  <c r="B114" i="8"/>
  <c r="C19" i="8"/>
  <c r="C105" i="8"/>
  <c r="B113" i="8"/>
  <c r="B132" i="8"/>
  <c r="B102" i="8"/>
  <c r="F16" i="5"/>
  <c r="Z104" i="8"/>
  <c r="N104" i="8"/>
  <c r="Y104" i="8"/>
  <c r="M104" i="8"/>
  <c r="X104" i="8"/>
  <c r="L104" i="8"/>
  <c r="W104" i="8"/>
  <c r="K104" i="8"/>
  <c r="V104" i="8"/>
  <c r="J104" i="8"/>
  <c r="U104" i="8"/>
  <c r="I104" i="8"/>
  <c r="T104" i="8"/>
  <c r="H104" i="8"/>
  <c r="P104" i="8"/>
  <c r="D104" i="8"/>
  <c r="B125" i="8"/>
  <c r="T140" i="8"/>
  <c r="H140" i="8"/>
  <c r="S140" i="8"/>
  <c r="G140" i="8"/>
  <c r="R140" i="8"/>
  <c r="F140" i="8"/>
  <c r="Q140" i="8"/>
  <c r="E140" i="8"/>
  <c r="P140" i="8"/>
  <c r="D140" i="8"/>
  <c r="O140" i="8"/>
  <c r="C140" i="8"/>
  <c r="Z140" i="8"/>
  <c r="N140" i="8"/>
  <c r="X140" i="8"/>
  <c r="L140" i="8"/>
  <c r="V140" i="8"/>
  <c r="J140" i="8"/>
  <c r="G92" i="8"/>
  <c r="S92" i="8"/>
  <c r="U116" i="8"/>
  <c r="O128" i="8"/>
  <c r="I140" i="8"/>
  <c r="H92" i="8"/>
  <c r="T92" i="8"/>
  <c r="J98" i="8"/>
  <c r="W116" i="8"/>
  <c r="Q128" i="8"/>
  <c r="K140" i="8"/>
  <c r="Q98" i="8"/>
  <c r="E98" i="8"/>
  <c r="P98" i="8"/>
  <c r="O98" i="8"/>
  <c r="C98" i="8"/>
  <c r="Z98" i="8"/>
  <c r="N98" i="8"/>
  <c r="Y98" i="8"/>
  <c r="M98" i="8"/>
  <c r="X98" i="8"/>
  <c r="L98" i="8"/>
  <c r="W98" i="8"/>
  <c r="K98" i="8"/>
  <c r="S98" i="8"/>
  <c r="G98" i="8"/>
  <c r="B119" i="8"/>
  <c r="W134" i="8"/>
  <c r="K134" i="8"/>
  <c r="V134" i="8"/>
  <c r="J134" i="8"/>
  <c r="U134" i="8"/>
  <c r="I134" i="8"/>
  <c r="T134" i="8"/>
  <c r="H134" i="8"/>
  <c r="S134" i="8"/>
  <c r="G134" i="8"/>
  <c r="R134" i="8"/>
  <c r="F134" i="8"/>
  <c r="Q134" i="8"/>
  <c r="E134" i="8"/>
  <c r="O134" i="8"/>
  <c r="C134" i="8"/>
  <c r="Y134" i="8"/>
  <c r="M134" i="8"/>
  <c r="C141" i="8"/>
  <c r="I92" i="8"/>
  <c r="U92" i="8"/>
  <c r="R98" i="8"/>
  <c r="C104" i="8"/>
  <c r="X110" i="8"/>
  <c r="M140" i="8"/>
  <c r="J92" i="8"/>
  <c r="V92" i="8"/>
  <c r="T98" i="8"/>
  <c r="E104" i="8"/>
  <c r="F122" i="8"/>
  <c r="U140" i="8"/>
  <c r="C60" i="8"/>
  <c r="C99" i="8"/>
  <c r="Z128" i="8"/>
  <c r="N128" i="8"/>
  <c r="Y128" i="8"/>
  <c r="M128" i="8"/>
  <c r="X128" i="8"/>
  <c r="L128" i="8"/>
  <c r="W128" i="8"/>
  <c r="K128" i="8"/>
  <c r="V128" i="8"/>
  <c r="J128" i="8"/>
  <c r="U128" i="8"/>
  <c r="I128" i="8"/>
  <c r="T128" i="8"/>
  <c r="H128" i="8"/>
  <c r="R128" i="8"/>
  <c r="F128" i="8"/>
  <c r="P128" i="8"/>
  <c r="D128" i="8"/>
  <c r="C135" i="8"/>
  <c r="K92" i="8"/>
  <c r="W92" i="8"/>
  <c r="U98" i="8"/>
  <c r="F104" i="8"/>
  <c r="H122" i="8"/>
  <c r="W140" i="8"/>
  <c r="L92" i="8"/>
  <c r="G104" i="8"/>
  <c r="D134" i="8"/>
  <c r="Y140" i="8"/>
  <c r="B107" i="8"/>
  <c r="Q122" i="8"/>
  <c r="E122" i="8"/>
  <c r="P122" i="8"/>
  <c r="D122" i="8"/>
  <c r="O122" i="8"/>
  <c r="C122" i="8"/>
  <c r="C123" i="8" s="1"/>
  <c r="Z122" i="8"/>
  <c r="N122" i="8"/>
  <c r="Y122" i="8"/>
  <c r="M122" i="8"/>
  <c r="X122" i="8"/>
  <c r="L122" i="8"/>
  <c r="W122" i="8"/>
  <c r="K122" i="8"/>
  <c r="U122" i="8"/>
  <c r="I122" i="8"/>
  <c r="S122" i="8"/>
  <c r="G122" i="8"/>
  <c r="B143" i="8"/>
  <c r="M92" i="8"/>
  <c r="Y92" i="8"/>
  <c r="O104" i="8"/>
  <c r="R122" i="8"/>
  <c r="L134" i="8"/>
  <c r="B101" i="8"/>
  <c r="T116" i="8"/>
  <c r="H116" i="8"/>
  <c r="S116" i="8"/>
  <c r="G116" i="8"/>
  <c r="R116" i="8"/>
  <c r="F116" i="8"/>
  <c r="Q116" i="8"/>
  <c r="E116" i="8"/>
  <c r="P116" i="8"/>
  <c r="D116" i="8"/>
  <c r="O116" i="8"/>
  <c r="C116" i="8"/>
  <c r="C117" i="8" s="1"/>
  <c r="Z116" i="8"/>
  <c r="N116" i="8"/>
  <c r="X116" i="8"/>
  <c r="L116" i="8"/>
  <c r="V116" i="8"/>
  <c r="J116" i="8"/>
  <c r="C92" i="8"/>
  <c r="C93" i="8" s="1"/>
  <c r="O92" i="8"/>
  <c r="R104" i="8"/>
  <c r="V122" i="8"/>
  <c r="P134" i="8"/>
  <c r="B20" i="9"/>
  <c r="B19" i="9"/>
  <c r="B22" i="9" s="1"/>
  <c r="C31" i="8"/>
  <c r="W110" i="8"/>
  <c r="K110" i="8"/>
  <c r="V110" i="8"/>
  <c r="J110" i="8"/>
  <c r="U110" i="8"/>
  <c r="I110" i="8"/>
  <c r="T110" i="8"/>
  <c r="H110" i="8"/>
  <c r="S110" i="8"/>
  <c r="G110" i="8"/>
  <c r="R110" i="8"/>
  <c r="F110" i="8"/>
  <c r="Q110" i="8"/>
  <c r="E110" i="8"/>
  <c r="Y110" i="8"/>
  <c r="M110" i="8"/>
  <c r="B131" i="8"/>
  <c r="E92" i="8"/>
  <c r="F98" i="8"/>
  <c r="L110" i="8"/>
  <c r="K116" i="8"/>
  <c r="E128" i="8"/>
  <c r="Z134" i="8"/>
  <c r="C20" i="9"/>
  <c r="C21" i="9"/>
  <c r="C19" i="9"/>
  <c r="C22" i="9" s="1"/>
  <c r="D93" i="8" l="1"/>
  <c r="D123" i="8"/>
  <c r="D117" i="8"/>
  <c r="D111" i="8"/>
  <c r="D99" i="8"/>
  <c r="D105" i="8"/>
  <c r="D141" i="8"/>
  <c r="D19" i="8"/>
  <c r="C20" i="8"/>
  <c r="D129" i="8"/>
  <c r="D135" i="8"/>
  <c r="E31" i="5"/>
  <c r="F31" i="5" s="1"/>
  <c r="C32" i="8"/>
  <c r="D31" i="8"/>
  <c r="D17" i="6"/>
  <c r="C17" i="6"/>
  <c r="B17" i="6"/>
  <c r="F17" i="5"/>
  <c r="B32" i="5"/>
  <c r="C32" i="5" s="1"/>
  <c r="B22" i="5"/>
  <c r="C88" i="8"/>
  <c r="C142" i="8" s="1"/>
  <c r="E29" i="5"/>
  <c r="F29" i="5" s="1"/>
  <c r="E17" i="5"/>
  <c r="H17" i="5" s="1"/>
  <c r="E7" i="8"/>
  <c r="D8" i="8"/>
  <c r="B21" i="5"/>
  <c r="B23" i="5" s="1"/>
  <c r="C144" i="8" l="1"/>
  <c r="C143" i="8"/>
  <c r="C34" i="8"/>
  <c r="C37" i="8" s="1"/>
  <c r="E111" i="8"/>
  <c r="E117" i="8"/>
  <c r="E31" i="8"/>
  <c r="D33" i="8"/>
  <c r="D32" i="8"/>
  <c r="D34" i="8" s="1"/>
  <c r="D37" i="8" s="1"/>
  <c r="E123" i="8"/>
  <c r="E99" i="8"/>
  <c r="E129" i="8"/>
  <c r="B5" i="7"/>
  <c r="C8" i="8"/>
  <c r="D142" i="8"/>
  <c r="E141" i="8"/>
  <c r="D20" i="8"/>
  <c r="E19" i="8"/>
  <c r="F7" i="8"/>
  <c r="E8" i="8"/>
  <c r="B82" i="8"/>
  <c r="B83" i="8"/>
  <c r="B84" i="8"/>
  <c r="B85" i="8"/>
  <c r="B86" i="8"/>
  <c r="B80" i="8"/>
  <c r="B58" i="8"/>
  <c r="B87" i="8"/>
  <c r="B81" i="8"/>
  <c r="B72" i="8"/>
  <c r="C5" i="7"/>
  <c r="E135" i="8"/>
  <c r="E93" i="8"/>
  <c r="C18" i="6"/>
  <c r="B18" i="6"/>
  <c r="B6" i="7" s="1"/>
  <c r="D18" i="6"/>
  <c r="C33" i="8" s="1"/>
  <c r="D6" i="7"/>
  <c r="D5" i="7"/>
  <c r="E105" i="8"/>
  <c r="B7" i="7" l="1"/>
  <c r="B9" i="7"/>
  <c r="B11" i="7" s="1"/>
  <c r="B12" i="7"/>
  <c r="D100" i="8"/>
  <c r="C136" i="8"/>
  <c r="E142" i="8"/>
  <c r="F141" i="8"/>
  <c r="E136" i="8"/>
  <c r="F135" i="8"/>
  <c r="F93" i="8"/>
  <c r="E94" i="8"/>
  <c r="F117" i="8"/>
  <c r="F105" i="8"/>
  <c r="C39" i="8"/>
  <c r="C38" i="8"/>
  <c r="C83" i="8"/>
  <c r="E112" i="8" s="1"/>
  <c r="B59" i="8"/>
  <c r="C85" i="8"/>
  <c r="D124" i="8" s="1"/>
  <c r="C86" i="8"/>
  <c r="D130" i="8" s="1"/>
  <c r="C80" i="8"/>
  <c r="C94" i="8" s="1"/>
  <c r="C87" i="8"/>
  <c r="D136" i="8" s="1"/>
  <c r="C81" i="8"/>
  <c r="C84" i="8"/>
  <c r="E118" i="8" s="1"/>
  <c r="C82" i="8"/>
  <c r="E106" i="8" s="1"/>
  <c r="C21" i="8"/>
  <c r="C22" i="8" s="1"/>
  <c r="C25" i="8" s="1"/>
  <c r="C124" i="8"/>
  <c r="D94" i="8"/>
  <c r="F111" i="8"/>
  <c r="E130" i="8"/>
  <c r="F129" i="8"/>
  <c r="E9" i="8"/>
  <c r="F99" i="8"/>
  <c r="E100" i="8"/>
  <c r="D143" i="8"/>
  <c r="D22" i="8"/>
  <c r="D25" i="8" s="1"/>
  <c r="F31" i="8"/>
  <c r="E33" i="8"/>
  <c r="E32" i="8"/>
  <c r="E34" i="8" s="1"/>
  <c r="E37" i="8" s="1"/>
  <c r="B13" i="7"/>
  <c r="E10" i="8"/>
  <c r="E13" i="8" s="1"/>
  <c r="D7" i="7"/>
  <c r="D12" i="7"/>
  <c r="D9" i="7"/>
  <c r="D11" i="7" s="1"/>
  <c r="C6" i="7"/>
  <c r="G7" i="8"/>
  <c r="F9" i="8"/>
  <c r="F8" i="8"/>
  <c r="C9" i="8"/>
  <c r="D9" i="8"/>
  <c r="D10" i="8" s="1"/>
  <c r="D13" i="8" s="1"/>
  <c r="D21" i="8"/>
  <c r="C130" i="8"/>
  <c r="C10" i="8"/>
  <c r="C13" i="8" s="1"/>
  <c r="C112" i="8"/>
  <c r="D13" i="7"/>
  <c r="C58" i="8"/>
  <c r="C100" i="8"/>
  <c r="F19" i="8"/>
  <c r="E20" i="8"/>
  <c r="E21" i="8"/>
  <c r="F123" i="8"/>
  <c r="E124" i="8"/>
  <c r="D144" i="8"/>
  <c r="C95" i="8" l="1"/>
  <c r="C96" i="8"/>
  <c r="H7" i="8"/>
  <c r="G9" i="8"/>
  <c r="G8" i="8"/>
  <c r="G10" i="8" s="1"/>
  <c r="G13" i="8" s="1"/>
  <c r="C126" i="8"/>
  <c r="C125" i="8"/>
  <c r="D38" i="8"/>
  <c r="E38" i="8" s="1"/>
  <c r="C26" i="8"/>
  <c r="C27" i="8"/>
  <c r="D39" i="8"/>
  <c r="E39" i="8" s="1"/>
  <c r="F142" i="8"/>
  <c r="G141" i="8"/>
  <c r="C137" i="8"/>
  <c r="C138" i="8"/>
  <c r="E143" i="8"/>
  <c r="F100" i="8"/>
  <c r="G99" i="8"/>
  <c r="F106" i="8"/>
  <c r="G105" i="8"/>
  <c r="C118" i="8"/>
  <c r="E144" i="8"/>
  <c r="C15" i="8"/>
  <c r="C14" i="8"/>
  <c r="D112" i="8"/>
  <c r="C131" i="8"/>
  <c r="C132" i="8"/>
  <c r="F118" i="8"/>
  <c r="G117" i="8"/>
  <c r="D118" i="8"/>
  <c r="F124" i="8"/>
  <c r="G123" i="8"/>
  <c r="G129" i="8"/>
  <c r="F130" i="8"/>
  <c r="C59" i="8"/>
  <c r="D106" i="8"/>
  <c r="E22" i="8"/>
  <c r="E25" i="8" s="1"/>
  <c r="F112" i="8"/>
  <c r="G111" i="8"/>
  <c r="F94" i="8"/>
  <c r="G93" i="8"/>
  <c r="C7" i="7"/>
  <c r="C9" i="7"/>
  <c r="C12" i="7"/>
  <c r="B8" i="10" s="1"/>
  <c r="C8" i="10" s="1"/>
  <c r="C106" i="8"/>
  <c r="C113" i="8"/>
  <c r="C114" i="8"/>
  <c r="F21" i="8"/>
  <c r="F20" i="8"/>
  <c r="F22" i="8" s="1"/>
  <c r="F25" i="8" s="1"/>
  <c r="G19" i="8"/>
  <c r="F10" i="8"/>
  <c r="F13" i="8" s="1"/>
  <c r="C101" i="8"/>
  <c r="C102" i="8"/>
  <c r="G31" i="8"/>
  <c r="F33" i="8"/>
  <c r="F32" i="8"/>
  <c r="F34" i="8" s="1"/>
  <c r="F37" i="8" s="1"/>
  <c r="F136" i="8"/>
  <c r="G135" i="8"/>
  <c r="D137" i="8" l="1"/>
  <c r="E137" i="8" s="1"/>
  <c r="F137" i="8" s="1"/>
  <c r="F38" i="8"/>
  <c r="D14" i="8"/>
  <c r="E14" i="8" s="1"/>
  <c r="F14" i="8" s="1"/>
  <c r="G14" i="8" s="1"/>
  <c r="H14" i="8" s="1"/>
  <c r="D126" i="8"/>
  <c r="E126" i="8" s="1"/>
  <c r="F126" i="8" s="1"/>
  <c r="G130" i="8"/>
  <c r="H129" i="8"/>
  <c r="F144" i="8"/>
  <c r="F39" i="8"/>
  <c r="G136" i="8"/>
  <c r="H135" i="8"/>
  <c r="D114" i="8"/>
  <c r="E114" i="8" s="1"/>
  <c r="F114" i="8" s="1"/>
  <c r="D113" i="8"/>
  <c r="E113" i="8" s="1"/>
  <c r="F113" i="8" s="1"/>
  <c r="C108" i="8"/>
  <c r="C107" i="8"/>
  <c r="H123" i="8"/>
  <c r="G124" i="8"/>
  <c r="G94" i="8"/>
  <c r="H93" i="8"/>
  <c r="G118" i="8"/>
  <c r="H117" i="8"/>
  <c r="G106" i="8"/>
  <c r="H105" i="8"/>
  <c r="D27" i="8"/>
  <c r="E27" i="8" s="1"/>
  <c r="F27" i="8" s="1"/>
  <c r="H9" i="8"/>
  <c r="H8" i="8"/>
  <c r="H10" i="8" s="1"/>
  <c r="H13" i="8" s="1"/>
  <c r="I7" i="8"/>
  <c r="D26" i="8"/>
  <c r="E26" i="8" s="1"/>
  <c r="F26" i="8" s="1"/>
  <c r="D96" i="8"/>
  <c r="E96" i="8" s="1"/>
  <c r="F96" i="8" s="1"/>
  <c r="G96" i="8" s="1"/>
  <c r="D138" i="8"/>
  <c r="E138" i="8" s="1"/>
  <c r="F138" i="8" s="1"/>
  <c r="G138" i="8" s="1"/>
  <c r="G142" i="8"/>
  <c r="H141" i="8"/>
  <c r="D102" i="8"/>
  <c r="E102" i="8" s="1"/>
  <c r="F102" i="8" s="1"/>
  <c r="H19" i="8"/>
  <c r="G20" i="8"/>
  <c r="G21" i="8"/>
  <c r="D132" i="8"/>
  <c r="E132" i="8" s="1"/>
  <c r="F132" i="8" s="1"/>
  <c r="G132" i="8" s="1"/>
  <c r="G100" i="8"/>
  <c r="H99" i="8"/>
  <c r="D95" i="8"/>
  <c r="E95" i="8" s="1"/>
  <c r="F95" i="8" s="1"/>
  <c r="D15" i="8"/>
  <c r="E15" i="8" s="1"/>
  <c r="F15" i="8" s="1"/>
  <c r="G15" i="8" s="1"/>
  <c r="H15" i="8" s="1"/>
  <c r="B6" i="10"/>
  <c r="C6" i="10" s="1"/>
  <c r="B73" i="8"/>
  <c r="D131" i="8"/>
  <c r="E131" i="8" s="1"/>
  <c r="F131" i="8" s="1"/>
  <c r="G131" i="8" s="1"/>
  <c r="D125" i="8"/>
  <c r="E125" i="8" s="1"/>
  <c r="F125" i="8" s="1"/>
  <c r="G125" i="8" s="1"/>
  <c r="H31" i="8"/>
  <c r="G33" i="8"/>
  <c r="G32" i="8"/>
  <c r="C11" i="7"/>
  <c r="D101" i="8"/>
  <c r="E101" i="8" s="1"/>
  <c r="F101" i="8" s="1"/>
  <c r="C120" i="8"/>
  <c r="C119" i="8"/>
  <c r="G112" i="8"/>
  <c r="H111" i="8"/>
  <c r="F143" i="8"/>
  <c r="G143" i="8" s="1"/>
  <c r="H118" i="8" l="1"/>
  <c r="I117" i="8"/>
  <c r="G114" i="8"/>
  <c r="I14" i="8"/>
  <c r="D119" i="8"/>
  <c r="E119" i="8" s="1"/>
  <c r="F119" i="8" s="1"/>
  <c r="G119" i="8" s="1"/>
  <c r="H94" i="8"/>
  <c r="H96" i="8" s="1"/>
  <c r="I93" i="8"/>
  <c r="H136" i="8"/>
  <c r="H138" i="8" s="1"/>
  <c r="I135" i="8"/>
  <c r="G38" i="8"/>
  <c r="D120" i="8"/>
  <c r="E120" i="8" s="1"/>
  <c r="F120" i="8" s="1"/>
  <c r="G120" i="8" s="1"/>
  <c r="H120" i="8" s="1"/>
  <c r="G101" i="8"/>
  <c r="G22" i="8"/>
  <c r="G25" i="8" s="1"/>
  <c r="G26" i="8"/>
  <c r="G39" i="8"/>
  <c r="G137" i="8"/>
  <c r="B7" i="10"/>
  <c r="C7" i="10" s="1"/>
  <c r="C13" i="7"/>
  <c r="H21" i="8"/>
  <c r="H20" i="8"/>
  <c r="H22" i="8" s="1"/>
  <c r="H25" i="8" s="1"/>
  <c r="I19" i="8"/>
  <c r="J7" i="8"/>
  <c r="I9" i="8"/>
  <c r="I8" i="8"/>
  <c r="I10" i="8" s="1"/>
  <c r="I13" i="8" s="1"/>
  <c r="H124" i="8"/>
  <c r="I123" i="8"/>
  <c r="I99" i="8"/>
  <c r="H100" i="8"/>
  <c r="D107" i="8"/>
  <c r="E107" i="8" s="1"/>
  <c r="F107" i="8" s="1"/>
  <c r="G107" i="8" s="1"/>
  <c r="H107" i="8" s="1"/>
  <c r="G144" i="8"/>
  <c r="G34" i="8"/>
  <c r="G37" i="8" s="1"/>
  <c r="I15" i="8"/>
  <c r="G102" i="8"/>
  <c r="D108" i="8"/>
  <c r="E108" i="8" s="1"/>
  <c r="F108" i="8" s="1"/>
  <c r="G108" i="8" s="1"/>
  <c r="H130" i="8"/>
  <c r="H132" i="8" s="1"/>
  <c r="I129" i="8"/>
  <c r="H125" i="8"/>
  <c r="I141" i="8"/>
  <c r="H142" i="8"/>
  <c r="H143" i="8" s="1"/>
  <c r="G95" i="8"/>
  <c r="I31" i="8"/>
  <c r="H33" i="8"/>
  <c r="H32" i="8"/>
  <c r="H34" i="8" s="1"/>
  <c r="H37" i="8" s="1"/>
  <c r="H112" i="8"/>
  <c r="I111" i="8"/>
  <c r="H106" i="8"/>
  <c r="I105" i="8"/>
  <c r="G113" i="8"/>
  <c r="G126" i="8"/>
  <c r="H38" i="8" l="1"/>
  <c r="H114" i="8"/>
  <c r="I136" i="8"/>
  <c r="I138" i="8" s="1"/>
  <c r="J135" i="8"/>
  <c r="I118" i="8"/>
  <c r="I120" i="8" s="1"/>
  <c r="J117" i="8"/>
  <c r="J99" i="8"/>
  <c r="I100" i="8"/>
  <c r="I94" i="8"/>
  <c r="I96" i="8" s="1"/>
  <c r="J93" i="8"/>
  <c r="I112" i="8"/>
  <c r="J111" i="8"/>
  <c r="H39" i="8"/>
  <c r="I124" i="8"/>
  <c r="I125" i="8" s="1"/>
  <c r="J123" i="8"/>
  <c r="I142" i="8"/>
  <c r="I143" i="8" s="1"/>
  <c r="J141" i="8"/>
  <c r="H102" i="8"/>
  <c r="I130" i="8"/>
  <c r="I132" i="8" s="1"/>
  <c r="J129" i="8"/>
  <c r="H137" i="8"/>
  <c r="I137" i="8" s="1"/>
  <c r="H108" i="8"/>
  <c r="H131" i="8"/>
  <c r="H113" i="8"/>
  <c r="I113" i="8" s="1"/>
  <c r="H95" i="8"/>
  <c r="H101" i="8"/>
  <c r="J31" i="8"/>
  <c r="I33" i="8"/>
  <c r="I32" i="8"/>
  <c r="H26" i="8"/>
  <c r="H126" i="8"/>
  <c r="I106" i="8"/>
  <c r="I107" i="8" s="1"/>
  <c r="J105" i="8"/>
  <c r="G27" i="8"/>
  <c r="H144" i="8"/>
  <c r="I144" i="8" s="1"/>
  <c r="K7" i="8"/>
  <c r="J9" i="8"/>
  <c r="J8" i="8"/>
  <c r="H119" i="8"/>
  <c r="J19" i="8"/>
  <c r="I20" i="8"/>
  <c r="I21" i="8"/>
  <c r="J143" i="8" l="1"/>
  <c r="J138" i="8"/>
  <c r="J124" i="8"/>
  <c r="J125" i="8" s="1"/>
  <c r="K123" i="8"/>
  <c r="I131" i="8"/>
  <c r="H27" i="8"/>
  <c r="I101" i="8"/>
  <c r="J118" i="8"/>
  <c r="J120" i="8" s="1"/>
  <c r="K117" i="8"/>
  <c r="K31" i="8"/>
  <c r="J33" i="8"/>
  <c r="J32" i="8"/>
  <c r="J34" i="8" s="1"/>
  <c r="J37" i="8" s="1"/>
  <c r="J100" i="8"/>
  <c r="K99" i="8"/>
  <c r="J137" i="8"/>
  <c r="I108" i="8"/>
  <c r="J106" i="8"/>
  <c r="J107" i="8" s="1"/>
  <c r="K105" i="8"/>
  <c r="J130" i="8"/>
  <c r="J132" i="8" s="1"/>
  <c r="K129" i="8"/>
  <c r="J136" i="8"/>
  <c r="K135" i="8"/>
  <c r="K19" i="8"/>
  <c r="J21" i="8"/>
  <c r="J20" i="8"/>
  <c r="J22" i="8" s="1"/>
  <c r="J25" i="8" s="1"/>
  <c r="I95" i="8"/>
  <c r="I126" i="8"/>
  <c r="K8" i="8"/>
  <c r="K10" i="8" s="1"/>
  <c r="K13" i="8" s="1"/>
  <c r="L7" i="8"/>
  <c r="K9" i="8"/>
  <c r="I22" i="8"/>
  <c r="I25" i="8" s="1"/>
  <c r="I102" i="8"/>
  <c r="I114" i="8"/>
  <c r="J142" i="8"/>
  <c r="J144" i="8" s="1"/>
  <c r="K141" i="8"/>
  <c r="J112" i="8"/>
  <c r="J113" i="8" s="1"/>
  <c r="K111" i="8"/>
  <c r="I119" i="8"/>
  <c r="I26" i="8"/>
  <c r="J26" i="8" s="1"/>
  <c r="J10" i="8"/>
  <c r="J13" i="8" s="1"/>
  <c r="I34" i="8"/>
  <c r="I37" i="8" s="1"/>
  <c r="I38" i="8" s="1"/>
  <c r="J94" i="8"/>
  <c r="J96" i="8" s="1"/>
  <c r="K93" i="8"/>
  <c r="J38" i="8" l="1"/>
  <c r="K96" i="8"/>
  <c r="K138" i="8"/>
  <c r="J95" i="8"/>
  <c r="J108" i="8"/>
  <c r="I27" i="8"/>
  <c r="M7" i="8"/>
  <c r="L9" i="8"/>
  <c r="L8" i="8"/>
  <c r="J119" i="8"/>
  <c r="J114" i="8"/>
  <c r="K114" i="8" s="1"/>
  <c r="L19" i="8"/>
  <c r="K21" i="8"/>
  <c r="K20" i="8"/>
  <c r="K22" i="8" s="1"/>
  <c r="K25" i="8" s="1"/>
  <c r="K26" i="8" s="1"/>
  <c r="K124" i="8"/>
  <c r="K125" i="8" s="1"/>
  <c r="L123" i="8"/>
  <c r="K106" i="8"/>
  <c r="K107" i="8" s="1"/>
  <c r="L105" i="8"/>
  <c r="L111" i="8"/>
  <c r="K112" i="8"/>
  <c r="K113" i="8" s="1"/>
  <c r="K137" i="8"/>
  <c r="J102" i="8"/>
  <c r="K100" i="8"/>
  <c r="L99" i="8"/>
  <c r="K94" i="8"/>
  <c r="L93" i="8"/>
  <c r="K136" i="8"/>
  <c r="L135" i="8"/>
  <c r="J126" i="8"/>
  <c r="K142" i="8"/>
  <c r="K143" i="8" s="1"/>
  <c r="L141" i="8"/>
  <c r="I39" i="8"/>
  <c r="K33" i="8"/>
  <c r="K32" i="8"/>
  <c r="K34" i="8" s="1"/>
  <c r="K37" i="8" s="1"/>
  <c r="L31" i="8"/>
  <c r="J101" i="8"/>
  <c r="J131" i="8"/>
  <c r="J15" i="8"/>
  <c r="J14" i="8"/>
  <c r="K130" i="8"/>
  <c r="K132" i="8" s="1"/>
  <c r="L129" i="8"/>
  <c r="K118" i="8"/>
  <c r="K120" i="8" s="1"/>
  <c r="L117" i="8"/>
  <c r="L113" i="8" l="1"/>
  <c r="L143" i="8"/>
  <c r="M117" i="8"/>
  <c r="L118" i="8"/>
  <c r="L120" i="8" s="1"/>
  <c r="L96" i="8"/>
  <c r="N7" i="8"/>
  <c r="M9" i="8"/>
  <c r="M8" i="8"/>
  <c r="M10" i="8" s="1"/>
  <c r="M13" i="8" s="1"/>
  <c r="K14" i="8"/>
  <c r="L21" i="8"/>
  <c r="L20" i="8"/>
  <c r="L22" i="8" s="1"/>
  <c r="L25" i="8" s="1"/>
  <c r="L26" i="8" s="1"/>
  <c r="M19" i="8"/>
  <c r="K95" i="8"/>
  <c r="K144" i="8"/>
  <c r="L100" i="8"/>
  <c r="M99" i="8"/>
  <c r="K102" i="8"/>
  <c r="L102" i="8" s="1"/>
  <c r="M141" i="8"/>
  <c r="L142" i="8"/>
  <c r="L137" i="8"/>
  <c r="L124" i="8"/>
  <c r="L125" i="8" s="1"/>
  <c r="M123" i="8"/>
  <c r="K38" i="8"/>
  <c r="K108" i="8"/>
  <c r="L108" i="8" s="1"/>
  <c r="K15" i="8"/>
  <c r="K131" i="8"/>
  <c r="L94" i="8"/>
  <c r="M93" i="8"/>
  <c r="J39" i="8"/>
  <c r="K39" i="8" s="1"/>
  <c r="K126" i="8"/>
  <c r="L112" i="8"/>
  <c r="L114" i="8" s="1"/>
  <c r="M111" i="8"/>
  <c r="L130" i="8"/>
  <c r="L132" i="8" s="1"/>
  <c r="M129" i="8"/>
  <c r="K101" i="8"/>
  <c r="L136" i="8"/>
  <c r="L138" i="8" s="1"/>
  <c r="M135" i="8"/>
  <c r="L106" i="8"/>
  <c r="L107" i="8" s="1"/>
  <c r="M105" i="8"/>
  <c r="K119" i="8"/>
  <c r="L119" i="8" s="1"/>
  <c r="J27" i="8"/>
  <c r="K27" i="8" s="1"/>
  <c r="L27" i="8" s="1"/>
  <c r="M31" i="8"/>
  <c r="L33" i="8"/>
  <c r="L32" i="8"/>
  <c r="L34" i="8" s="1"/>
  <c r="L37" i="8" s="1"/>
  <c r="L10" i="8"/>
  <c r="L13" i="8" s="1"/>
  <c r="M132" i="8" l="1"/>
  <c r="M120" i="8"/>
  <c r="M112" i="8"/>
  <c r="M113" i="8" s="1"/>
  <c r="N111" i="8"/>
  <c r="M124" i="8"/>
  <c r="M125" i="8" s="1"/>
  <c r="N123" i="8"/>
  <c r="L144" i="8"/>
  <c r="O7" i="8"/>
  <c r="N9" i="8"/>
  <c r="N8" i="8"/>
  <c r="N10" i="8" s="1"/>
  <c r="N13" i="8" s="1"/>
  <c r="L95" i="8"/>
  <c r="M100" i="8"/>
  <c r="M102" i="8" s="1"/>
  <c r="N99" i="8"/>
  <c r="M130" i="8"/>
  <c r="N129" i="8"/>
  <c r="M143" i="8"/>
  <c r="M119" i="8"/>
  <c r="M118" i="8"/>
  <c r="N117" i="8"/>
  <c r="M106" i="8"/>
  <c r="M108" i="8" s="1"/>
  <c r="N105" i="8"/>
  <c r="N135" i="8"/>
  <c r="M136" i="8"/>
  <c r="M138" i="8" s="1"/>
  <c r="L131" i="8"/>
  <c r="M131" i="8" s="1"/>
  <c r="M142" i="8"/>
  <c r="N141" i="8"/>
  <c r="L14" i="8"/>
  <c r="M14" i="8" s="1"/>
  <c r="N31" i="8"/>
  <c r="M33" i="8"/>
  <c r="M32" i="8"/>
  <c r="M34" i="8" s="1"/>
  <c r="M37" i="8" s="1"/>
  <c r="L126" i="8"/>
  <c r="L39" i="8"/>
  <c r="M39" i="8" s="1"/>
  <c r="N19" i="8"/>
  <c r="M20" i="8"/>
  <c r="M21" i="8"/>
  <c r="N93" i="8"/>
  <c r="M94" i="8"/>
  <c r="M96" i="8" s="1"/>
  <c r="L38" i="8"/>
  <c r="L101" i="8"/>
  <c r="L15" i="8"/>
  <c r="M15" i="8" s="1"/>
  <c r="N15" i="8" s="1"/>
  <c r="N96" i="8" l="1"/>
  <c r="M107" i="8"/>
  <c r="N107" i="8" s="1"/>
  <c r="M137" i="8"/>
  <c r="N100" i="8"/>
  <c r="N102" i="8" s="1"/>
  <c r="O99" i="8"/>
  <c r="N106" i="8"/>
  <c r="N108" i="8" s="1"/>
  <c r="O105" i="8"/>
  <c r="N118" i="8"/>
  <c r="O117" i="8"/>
  <c r="O111" i="8"/>
  <c r="N112" i="8"/>
  <c r="N113" i="8" s="1"/>
  <c r="N120" i="8"/>
  <c r="N21" i="8"/>
  <c r="N20" i="8"/>
  <c r="N22" i="8" s="1"/>
  <c r="N25" i="8" s="1"/>
  <c r="O19" i="8"/>
  <c r="N39" i="8"/>
  <c r="M126" i="8"/>
  <c r="O31" i="8"/>
  <c r="N33" i="8"/>
  <c r="N32" i="8"/>
  <c r="N34" i="8" s="1"/>
  <c r="N37" i="8" s="1"/>
  <c r="M114" i="8"/>
  <c r="N136" i="8"/>
  <c r="N138" i="8" s="1"/>
  <c r="O135" i="8"/>
  <c r="M95" i="8"/>
  <c r="N95" i="8" s="1"/>
  <c r="N14" i="8"/>
  <c r="N132" i="8"/>
  <c r="P7" i="8"/>
  <c r="O9" i="8"/>
  <c r="O8" i="8"/>
  <c r="N94" i="8"/>
  <c r="O93" i="8"/>
  <c r="O129" i="8"/>
  <c r="N130" i="8"/>
  <c r="N131" i="8" s="1"/>
  <c r="M144" i="8"/>
  <c r="M101" i="8"/>
  <c r="M38" i="8"/>
  <c r="N38" i="8" s="1"/>
  <c r="N119" i="8"/>
  <c r="N142" i="8"/>
  <c r="N143" i="8" s="1"/>
  <c r="O141" i="8"/>
  <c r="M22" i="8"/>
  <c r="M25" i="8" s="1"/>
  <c r="N124" i="8"/>
  <c r="N125" i="8" s="1"/>
  <c r="O123" i="8"/>
  <c r="O143" i="8" l="1"/>
  <c r="O100" i="8"/>
  <c r="O102" i="8" s="1"/>
  <c r="P99" i="8"/>
  <c r="O38" i="8"/>
  <c r="O107" i="8"/>
  <c r="O142" i="8"/>
  <c r="P141" i="8"/>
  <c r="O14" i="8"/>
  <c r="O130" i="8"/>
  <c r="O131" i="8" s="1"/>
  <c r="P129" i="8"/>
  <c r="N114" i="8"/>
  <c r="P111" i="8"/>
  <c r="O112" i="8"/>
  <c r="O113" i="8" s="1"/>
  <c r="N137" i="8"/>
  <c r="O94" i="8"/>
  <c r="O96" i="8" s="1"/>
  <c r="P93" i="8"/>
  <c r="N144" i="8"/>
  <c r="O144" i="8" s="1"/>
  <c r="O124" i="8"/>
  <c r="O125" i="8" s="1"/>
  <c r="P123" i="8"/>
  <c r="O118" i="8"/>
  <c r="O119" i="8" s="1"/>
  <c r="P117" i="8"/>
  <c r="M26" i="8"/>
  <c r="N26" i="8" s="1"/>
  <c r="M27" i="8"/>
  <c r="O10" i="8"/>
  <c r="O13" i="8" s="1"/>
  <c r="O15" i="8" s="1"/>
  <c r="O33" i="8"/>
  <c r="O32" i="8"/>
  <c r="O34" i="8" s="1"/>
  <c r="O37" i="8" s="1"/>
  <c r="O39" i="8" s="1"/>
  <c r="P31" i="8"/>
  <c r="O106" i="8"/>
  <c r="O108" i="8" s="1"/>
  <c r="P105" i="8"/>
  <c r="Q7" i="8"/>
  <c r="P9" i="8"/>
  <c r="P8" i="8"/>
  <c r="P10" i="8" s="1"/>
  <c r="P13" i="8" s="1"/>
  <c r="P19" i="8"/>
  <c r="O20" i="8"/>
  <c r="O21" i="8"/>
  <c r="N101" i="8"/>
  <c r="O136" i="8"/>
  <c r="O138" i="8" s="1"/>
  <c r="P135" i="8"/>
  <c r="N126" i="8"/>
  <c r="P113" i="8" l="1"/>
  <c r="P118" i="8"/>
  <c r="P119" i="8" s="1"/>
  <c r="Q117" i="8"/>
  <c r="P143" i="8"/>
  <c r="R7" i="8"/>
  <c r="Q9" i="8"/>
  <c r="Q8" i="8"/>
  <c r="Q10" i="8" s="1"/>
  <c r="Q13" i="8" s="1"/>
  <c r="O126" i="8"/>
  <c r="O120" i="8"/>
  <c r="O132" i="8"/>
  <c r="O114" i="8"/>
  <c r="P114" i="8" s="1"/>
  <c r="P130" i="8"/>
  <c r="P131" i="8" s="1"/>
  <c r="Q129" i="8"/>
  <c r="Q105" i="8"/>
  <c r="P106" i="8"/>
  <c r="P108" i="8" s="1"/>
  <c r="P94" i="8"/>
  <c r="P96" i="8" s="1"/>
  <c r="Q93" i="8"/>
  <c r="P142" i="8"/>
  <c r="P144" i="8" s="1"/>
  <c r="Q141" i="8"/>
  <c r="P124" i="8"/>
  <c r="P125" i="8" s="1"/>
  <c r="Q123" i="8"/>
  <c r="P107" i="8"/>
  <c r="P15" i="8"/>
  <c r="Q15" i="8" s="1"/>
  <c r="N27" i="8"/>
  <c r="O27" i="8" s="1"/>
  <c r="P27" i="8" s="1"/>
  <c r="O137" i="8"/>
  <c r="P21" i="8"/>
  <c r="P20" i="8"/>
  <c r="P22" i="8" s="1"/>
  <c r="P25" i="8" s="1"/>
  <c r="Q19" i="8"/>
  <c r="P112" i="8"/>
  <c r="Q111" i="8"/>
  <c r="P100" i="8"/>
  <c r="P102" i="8" s="1"/>
  <c r="Q99" i="8"/>
  <c r="Q31" i="8"/>
  <c r="P33" i="8"/>
  <c r="P32" i="8"/>
  <c r="P34" i="8" s="1"/>
  <c r="P37" i="8" s="1"/>
  <c r="P38" i="8" s="1"/>
  <c r="P14" i="8"/>
  <c r="Q14" i="8" s="1"/>
  <c r="P136" i="8"/>
  <c r="P138" i="8" s="1"/>
  <c r="Q135" i="8"/>
  <c r="O95" i="8"/>
  <c r="P95" i="8" s="1"/>
  <c r="O101" i="8"/>
  <c r="O22" i="8"/>
  <c r="O25" i="8" s="1"/>
  <c r="O26" i="8" s="1"/>
  <c r="P26" i="8" s="1"/>
  <c r="Q125" i="8" l="1"/>
  <c r="Q26" i="8"/>
  <c r="Q96" i="8"/>
  <c r="Q138" i="8"/>
  <c r="P137" i="8"/>
  <c r="Q137" i="8" s="1"/>
  <c r="Q27" i="8"/>
  <c r="R31" i="8"/>
  <c r="Q33" i="8"/>
  <c r="Q32" i="8"/>
  <c r="Q34" i="8" s="1"/>
  <c r="Q37" i="8" s="1"/>
  <c r="Q38" i="8" s="1"/>
  <c r="P132" i="8"/>
  <c r="Q130" i="8"/>
  <c r="Q131" i="8" s="1"/>
  <c r="R129" i="8"/>
  <c r="P120" i="8"/>
  <c r="Q120" i="8" s="1"/>
  <c r="P39" i="8"/>
  <c r="Q39" i="8" s="1"/>
  <c r="P126" i="8"/>
  <c r="Q126" i="8" s="1"/>
  <c r="R105" i="8"/>
  <c r="Q106" i="8"/>
  <c r="Q107" i="8" s="1"/>
  <c r="Q124" i="8"/>
  <c r="R123" i="8"/>
  <c r="Q112" i="8"/>
  <c r="R111" i="8"/>
  <c r="Q142" i="8"/>
  <c r="Q144" i="8" s="1"/>
  <c r="R141" i="8"/>
  <c r="Q118" i="8"/>
  <c r="Q119" i="8" s="1"/>
  <c r="R117" i="8"/>
  <c r="R99" i="8"/>
  <c r="Q100" i="8"/>
  <c r="Q102" i="8" s="1"/>
  <c r="R19" i="8"/>
  <c r="Q21" i="8"/>
  <c r="Q20" i="8"/>
  <c r="Q22" i="8" s="1"/>
  <c r="Q25" i="8" s="1"/>
  <c r="Q94" i="8"/>
  <c r="Q95" i="8" s="1"/>
  <c r="R93" i="8"/>
  <c r="Q143" i="8"/>
  <c r="Q114" i="8"/>
  <c r="S7" i="8"/>
  <c r="R9" i="8"/>
  <c r="R8" i="8"/>
  <c r="R10" i="8" s="1"/>
  <c r="R13" i="8" s="1"/>
  <c r="R15" i="8" s="1"/>
  <c r="Q113" i="8"/>
  <c r="P101" i="8"/>
  <c r="Q101" i="8" s="1"/>
  <c r="Q136" i="8"/>
  <c r="R135" i="8"/>
  <c r="S105" i="8" l="1"/>
  <c r="R106" i="8"/>
  <c r="R107" i="8" s="1"/>
  <c r="R137" i="8"/>
  <c r="Q108" i="8"/>
  <c r="R108" i="8" s="1"/>
  <c r="R14" i="8"/>
  <c r="R100" i="8"/>
  <c r="R101" i="8" s="1"/>
  <c r="S99" i="8"/>
  <c r="T7" i="8"/>
  <c r="S9" i="8"/>
  <c r="S8" i="8"/>
  <c r="S10" i="8" s="1"/>
  <c r="S13" i="8" s="1"/>
  <c r="S15" i="8" s="1"/>
  <c r="R142" i="8"/>
  <c r="R144" i="8" s="1"/>
  <c r="S141" i="8"/>
  <c r="Q132" i="8"/>
  <c r="R132" i="8" s="1"/>
  <c r="R112" i="8"/>
  <c r="R113" i="8" s="1"/>
  <c r="S111" i="8"/>
  <c r="R21" i="8"/>
  <c r="R20" i="8"/>
  <c r="R22" i="8" s="1"/>
  <c r="R25" i="8" s="1"/>
  <c r="R27" i="8" s="1"/>
  <c r="S19" i="8"/>
  <c r="R118" i="8"/>
  <c r="R119" i="8" s="1"/>
  <c r="S117" i="8"/>
  <c r="S129" i="8"/>
  <c r="R130" i="8"/>
  <c r="R131" i="8" s="1"/>
  <c r="R143" i="8"/>
  <c r="R94" i="8"/>
  <c r="R96" i="8" s="1"/>
  <c r="S93" i="8"/>
  <c r="R136" i="8"/>
  <c r="R138" i="8" s="1"/>
  <c r="S135" i="8"/>
  <c r="R124" i="8"/>
  <c r="R126" i="8" s="1"/>
  <c r="S123" i="8"/>
  <c r="S31" i="8"/>
  <c r="R33" i="8"/>
  <c r="R32" i="8"/>
  <c r="R34" i="8" s="1"/>
  <c r="R37" i="8" s="1"/>
  <c r="R38" i="8" s="1"/>
  <c r="S138" i="8" l="1"/>
  <c r="S107" i="8"/>
  <c r="S131" i="8"/>
  <c r="S27" i="8"/>
  <c r="S126" i="8"/>
  <c r="S113" i="8"/>
  <c r="S106" i="8"/>
  <c r="T105" i="8"/>
  <c r="S100" i="8"/>
  <c r="S101" i="8" s="1"/>
  <c r="T99" i="8"/>
  <c r="S112" i="8"/>
  <c r="T111" i="8"/>
  <c r="R95" i="8"/>
  <c r="S95" i="8" s="1"/>
  <c r="T9" i="8"/>
  <c r="T8" i="8"/>
  <c r="T10" i="8" s="1"/>
  <c r="T13" i="8" s="1"/>
  <c r="T15" i="8" s="1"/>
  <c r="U7" i="8"/>
  <c r="S143" i="8"/>
  <c r="R125" i="8"/>
  <c r="R114" i="8"/>
  <c r="S130" i="8"/>
  <c r="T129" i="8"/>
  <c r="R26" i="8"/>
  <c r="S26" i="8" s="1"/>
  <c r="S108" i="8"/>
  <c r="R102" i="8"/>
  <c r="S102" i="8" s="1"/>
  <c r="S118" i="8"/>
  <c r="S119" i="8" s="1"/>
  <c r="T117" i="8"/>
  <c r="R120" i="8"/>
  <c r="S120" i="8" s="1"/>
  <c r="R39" i="8"/>
  <c r="T19" i="8"/>
  <c r="S21" i="8"/>
  <c r="S20" i="8"/>
  <c r="S22" i="8" s="1"/>
  <c r="S25" i="8" s="1"/>
  <c r="S136" i="8"/>
  <c r="S137" i="8" s="1"/>
  <c r="T135" i="8"/>
  <c r="S94" i="8"/>
  <c r="S96" i="8" s="1"/>
  <c r="T93" i="8"/>
  <c r="S132" i="8"/>
  <c r="S142" i="8"/>
  <c r="S144" i="8" s="1"/>
  <c r="T141" i="8"/>
  <c r="S14" i="8"/>
  <c r="T31" i="8"/>
  <c r="S33" i="8"/>
  <c r="S32" i="8"/>
  <c r="T123" i="8"/>
  <c r="S124" i="8"/>
  <c r="T113" i="8" l="1"/>
  <c r="U31" i="8"/>
  <c r="T33" i="8"/>
  <c r="T32" i="8"/>
  <c r="T34" i="8" s="1"/>
  <c r="T37" i="8" s="1"/>
  <c r="S39" i="8"/>
  <c r="T27" i="8"/>
  <c r="V7" i="8"/>
  <c r="U9" i="8"/>
  <c r="U8" i="8"/>
  <c r="U10" i="8" s="1"/>
  <c r="U13" i="8" s="1"/>
  <c r="U15" i="8" s="1"/>
  <c r="U117" i="8"/>
  <c r="T118" i="8"/>
  <c r="T119" i="8" s="1"/>
  <c r="T107" i="8"/>
  <c r="T102" i="8"/>
  <c r="T94" i="8"/>
  <c r="T95" i="8" s="1"/>
  <c r="U93" i="8"/>
  <c r="T21" i="8"/>
  <c r="T20" i="8"/>
  <c r="T22" i="8" s="1"/>
  <c r="T25" i="8" s="1"/>
  <c r="U19" i="8"/>
  <c r="T112" i="8"/>
  <c r="U111" i="8"/>
  <c r="T108" i="8"/>
  <c r="T26" i="8"/>
  <c r="T136" i="8"/>
  <c r="T137" i="8" s="1"/>
  <c r="U135" i="8"/>
  <c r="S114" i="8"/>
  <c r="T114" i="8" s="1"/>
  <c r="T106" i="8"/>
  <c r="U105" i="8"/>
  <c r="T14" i="8"/>
  <c r="U14" i="8" s="1"/>
  <c r="U141" i="8"/>
  <c r="T142" i="8"/>
  <c r="T143" i="8" s="1"/>
  <c r="T100" i="8"/>
  <c r="T101" i="8" s="1"/>
  <c r="U99" i="8"/>
  <c r="T130" i="8"/>
  <c r="T132" i="8" s="1"/>
  <c r="U129" i="8"/>
  <c r="T124" i="8"/>
  <c r="T126" i="8" s="1"/>
  <c r="U123" i="8"/>
  <c r="S34" i="8"/>
  <c r="S37" i="8" s="1"/>
  <c r="S38" i="8" s="1"/>
  <c r="S125" i="8"/>
  <c r="U95" i="8" l="1"/>
  <c r="U130" i="8"/>
  <c r="U132" i="8" s="1"/>
  <c r="V129" i="8"/>
  <c r="V31" i="8"/>
  <c r="U33" i="8"/>
  <c r="U32" i="8"/>
  <c r="U34" i="8" s="1"/>
  <c r="U37" i="8" s="1"/>
  <c r="T138" i="8"/>
  <c r="T144" i="8"/>
  <c r="U112" i="8"/>
  <c r="U113" i="8" s="1"/>
  <c r="V111" i="8"/>
  <c r="U142" i="8"/>
  <c r="U143" i="8" s="1"/>
  <c r="V141" i="8"/>
  <c r="V14" i="8"/>
  <c r="T120" i="8"/>
  <c r="U120" i="8" s="1"/>
  <c r="T131" i="8"/>
  <c r="T39" i="8"/>
  <c r="U39" i="8" s="1"/>
  <c r="U100" i="8"/>
  <c r="U101" i="8" s="1"/>
  <c r="V99" i="8"/>
  <c r="U118" i="8"/>
  <c r="U119" i="8" s="1"/>
  <c r="V117" i="8"/>
  <c r="V19" i="8"/>
  <c r="U20" i="8"/>
  <c r="U21" i="8"/>
  <c r="U136" i="8"/>
  <c r="U137" i="8" s="1"/>
  <c r="V135" i="8"/>
  <c r="U102" i="8"/>
  <c r="T38" i="8"/>
  <c r="T96" i="8"/>
  <c r="U94" i="8"/>
  <c r="V93" i="8"/>
  <c r="T125" i="8"/>
  <c r="U106" i="8"/>
  <c r="U107" i="8" s="1"/>
  <c r="V105" i="8"/>
  <c r="U124" i="8"/>
  <c r="U126" i="8" s="1"/>
  <c r="V123" i="8"/>
  <c r="W7" i="8"/>
  <c r="V9" i="8"/>
  <c r="V8" i="8"/>
  <c r="V10" i="8" s="1"/>
  <c r="V13" i="8" s="1"/>
  <c r="V15" i="8" s="1"/>
  <c r="V132" i="8" l="1"/>
  <c r="V137" i="8"/>
  <c r="V113" i="8"/>
  <c r="W31" i="8"/>
  <c r="V33" i="8"/>
  <c r="V32" i="8"/>
  <c r="V34" i="8" s="1"/>
  <c r="V37" i="8" s="1"/>
  <c r="V39" i="8" s="1"/>
  <c r="V124" i="8"/>
  <c r="V126" i="8" s="1"/>
  <c r="W123" i="8"/>
  <c r="V130" i="8"/>
  <c r="W129" i="8"/>
  <c r="V136" i="8"/>
  <c r="W135" i="8"/>
  <c r="V106" i="8"/>
  <c r="V107" i="8" s="1"/>
  <c r="W105" i="8"/>
  <c r="U125" i="8"/>
  <c r="V125" i="8" s="1"/>
  <c r="V95" i="8"/>
  <c r="V100" i="8"/>
  <c r="V102" i="8" s="1"/>
  <c r="W99" i="8"/>
  <c r="U144" i="8"/>
  <c r="W19" i="8"/>
  <c r="V21" i="8"/>
  <c r="V20" i="8"/>
  <c r="V22" i="8" s="1"/>
  <c r="V25" i="8" s="1"/>
  <c r="U138" i="8"/>
  <c r="V138" i="8" s="1"/>
  <c r="W141" i="8"/>
  <c r="V142" i="8"/>
  <c r="V143" i="8" s="1"/>
  <c r="U22" i="8"/>
  <c r="U25" i="8" s="1"/>
  <c r="U108" i="8"/>
  <c r="V108" i="8" s="1"/>
  <c r="U114" i="8"/>
  <c r="V114" i="8" s="1"/>
  <c r="V94" i="8"/>
  <c r="W93" i="8"/>
  <c r="U96" i="8"/>
  <c r="V96" i="8" s="1"/>
  <c r="V112" i="8"/>
  <c r="W111" i="8"/>
  <c r="V118" i="8"/>
  <c r="V120" i="8" s="1"/>
  <c r="W117" i="8"/>
  <c r="W8" i="8"/>
  <c r="X7" i="8"/>
  <c r="W9" i="8"/>
  <c r="U38" i="8"/>
  <c r="U131" i="8"/>
  <c r="W102" i="8" l="1"/>
  <c r="V101" i="8"/>
  <c r="W101" i="8" s="1"/>
  <c r="W33" i="8"/>
  <c r="W32" i="8"/>
  <c r="W34" i="8" s="1"/>
  <c r="W37" i="8" s="1"/>
  <c r="W39" i="8" s="1"/>
  <c r="X31" i="8"/>
  <c r="X111" i="8"/>
  <c r="W112" i="8"/>
  <c r="W114" i="8" s="1"/>
  <c r="W118" i="8"/>
  <c r="W120" i="8" s="1"/>
  <c r="X117" i="8"/>
  <c r="W113" i="8"/>
  <c r="W10" i="8"/>
  <c r="W13" i="8" s="1"/>
  <c r="W106" i="8"/>
  <c r="W107" i="8" s="1"/>
  <c r="X105" i="8"/>
  <c r="W142" i="8"/>
  <c r="W143" i="8" s="1"/>
  <c r="X141" i="8"/>
  <c r="W136" i="8"/>
  <c r="W138" i="8" s="1"/>
  <c r="X135" i="8"/>
  <c r="V119" i="8"/>
  <c r="Y7" i="8"/>
  <c r="X9" i="8"/>
  <c r="X8" i="8"/>
  <c r="X10" i="8" s="1"/>
  <c r="X13" i="8" s="1"/>
  <c r="V131" i="8"/>
  <c r="W94" i="8"/>
  <c r="W96" i="8" s="1"/>
  <c r="X93" i="8"/>
  <c r="V144" i="8"/>
  <c r="W144" i="8" s="1"/>
  <c r="W124" i="8"/>
  <c r="W126" i="8" s="1"/>
  <c r="X123" i="8"/>
  <c r="U26" i="8"/>
  <c r="V26" i="8" s="1"/>
  <c r="U27" i="8"/>
  <c r="V27" i="8" s="1"/>
  <c r="X19" i="8"/>
  <c r="W21" i="8"/>
  <c r="W20" i="8"/>
  <c r="W22" i="8" s="1"/>
  <c r="W25" i="8" s="1"/>
  <c r="W130" i="8"/>
  <c r="W132" i="8" s="1"/>
  <c r="X129" i="8"/>
  <c r="V38" i="8"/>
  <c r="W38" i="8" s="1"/>
  <c r="W100" i="8"/>
  <c r="X99" i="8"/>
  <c r="X107" i="8" l="1"/>
  <c r="X138" i="8"/>
  <c r="X130" i="8"/>
  <c r="X132" i="8" s="1"/>
  <c r="Y129" i="8"/>
  <c r="X112" i="8"/>
  <c r="X114" i="8" s="1"/>
  <c r="Y111" i="8"/>
  <c r="X106" i="8"/>
  <c r="Y105" i="8"/>
  <c r="W131" i="8"/>
  <c r="W137" i="8"/>
  <c r="X137" i="8" s="1"/>
  <c r="Y31" i="8"/>
  <c r="X33" i="8"/>
  <c r="X32" i="8"/>
  <c r="X34" i="8" s="1"/>
  <c r="X37" i="8" s="1"/>
  <c r="X39" i="8" s="1"/>
  <c r="W108" i="8"/>
  <c r="X108" i="8" s="1"/>
  <c r="X102" i="8"/>
  <c r="X38" i="8"/>
  <c r="X21" i="8"/>
  <c r="X20" i="8"/>
  <c r="Y19" i="8"/>
  <c r="W125" i="8"/>
  <c r="X94" i="8"/>
  <c r="X96" i="8" s="1"/>
  <c r="Y93" i="8"/>
  <c r="X101" i="8"/>
  <c r="Z7" i="8"/>
  <c r="Y9" i="8"/>
  <c r="Y8" i="8"/>
  <c r="Y10" i="8" s="1"/>
  <c r="Y13" i="8" s="1"/>
  <c r="W119" i="8"/>
  <c r="X119" i="8" s="1"/>
  <c r="W95" i="8"/>
  <c r="X95" i="8" s="1"/>
  <c r="X100" i="8"/>
  <c r="Y99" i="8"/>
  <c r="W26" i="8"/>
  <c r="X142" i="8"/>
  <c r="X144" i="8" s="1"/>
  <c r="Y141" i="8"/>
  <c r="W14" i="8"/>
  <c r="X14" i="8" s="1"/>
  <c r="W15" i="8"/>
  <c r="X15" i="8" s="1"/>
  <c r="Y117" i="8"/>
  <c r="X118" i="8"/>
  <c r="X120" i="8" s="1"/>
  <c r="W27" i="8"/>
  <c r="X124" i="8"/>
  <c r="X126" i="8" s="1"/>
  <c r="Y123" i="8"/>
  <c r="X136" i="8"/>
  <c r="Y135" i="8"/>
  <c r="X27" i="8" l="1"/>
  <c r="Y27" i="8" s="1"/>
  <c r="Y130" i="8"/>
  <c r="Y132" i="8" s="1"/>
  <c r="Z132" i="8" s="1"/>
  <c r="G63" i="8" s="1"/>
  <c r="Z129" i="8"/>
  <c r="Z130" i="8" s="1"/>
  <c r="D63" i="8" s="1"/>
  <c r="Y118" i="8"/>
  <c r="Y120" i="8" s="1"/>
  <c r="Z120" i="8" s="1"/>
  <c r="G61" i="8" s="1"/>
  <c r="Z117" i="8"/>
  <c r="Z118" i="8" s="1"/>
  <c r="D61" i="8" s="1"/>
  <c r="X113" i="8"/>
  <c r="Y14" i="8"/>
  <c r="Y142" i="8"/>
  <c r="Y144" i="8" s="1"/>
  <c r="Z144" i="8" s="1"/>
  <c r="G68" i="8" s="1"/>
  <c r="Z141" i="8"/>
  <c r="Z142" i="8" s="1"/>
  <c r="D68" i="8" s="1"/>
  <c r="X143" i="8"/>
  <c r="Y143" i="8" s="1"/>
  <c r="Z143" i="8" s="1"/>
  <c r="F68" i="8" s="1"/>
  <c r="X131" i="8"/>
  <c r="Y131" i="8" s="1"/>
  <c r="Y119" i="8"/>
  <c r="B49" i="8"/>
  <c r="Z9" i="8"/>
  <c r="Z8" i="8"/>
  <c r="Y15" i="8"/>
  <c r="X26" i="8"/>
  <c r="Y26" i="8" s="1"/>
  <c r="Y106" i="8"/>
  <c r="Y107" i="8" s="1"/>
  <c r="Z107" i="8" s="1"/>
  <c r="F59" i="8" s="1"/>
  <c r="Z105" i="8"/>
  <c r="Z106" i="8" s="1"/>
  <c r="D59" i="8" s="1"/>
  <c r="Y101" i="8"/>
  <c r="Z101" i="8" s="1"/>
  <c r="F58" i="8" s="1"/>
  <c r="Y94" i="8"/>
  <c r="Y96" i="8" s="1"/>
  <c r="Z96" i="8" s="1"/>
  <c r="G57" i="8" s="1"/>
  <c r="Z93" i="8"/>
  <c r="Z94" i="8" s="1"/>
  <c r="D57" i="8" s="1"/>
  <c r="Y100" i="8"/>
  <c r="Y102" i="8" s="1"/>
  <c r="Z102" i="8" s="1"/>
  <c r="G58" i="8" s="1"/>
  <c r="Z99" i="8"/>
  <c r="Z100" i="8" s="1"/>
  <c r="D58" i="8" s="1"/>
  <c r="Z19" i="8"/>
  <c r="Y20" i="8"/>
  <c r="Y22" i="8" s="1"/>
  <c r="Y25" i="8" s="1"/>
  <c r="Y21" i="8"/>
  <c r="Z31" i="8"/>
  <c r="Y33" i="8"/>
  <c r="Y32" i="8"/>
  <c r="Y34" i="8" s="1"/>
  <c r="Y37" i="8" s="1"/>
  <c r="Y39" i="8" s="1"/>
  <c r="Y136" i="8"/>
  <c r="Y138" i="8" s="1"/>
  <c r="Z138" i="8" s="1"/>
  <c r="G64" i="8" s="1"/>
  <c r="Z135" i="8"/>
  <c r="Z136" i="8" s="1"/>
  <c r="X125" i="8"/>
  <c r="Y124" i="8"/>
  <c r="Y126" i="8" s="1"/>
  <c r="Z126" i="8" s="1"/>
  <c r="G62" i="8" s="1"/>
  <c r="Z123" i="8"/>
  <c r="Z124" i="8" s="1"/>
  <c r="X22" i="8"/>
  <c r="X25" i="8" s="1"/>
  <c r="Y112" i="8"/>
  <c r="Y114" i="8" s="1"/>
  <c r="Z114" i="8" s="1"/>
  <c r="G60" i="8" s="1"/>
  <c r="Z111" i="8"/>
  <c r="Z112" i="8" s="1"/>
  <c r="D60" i="8" s="1"/>
  <c r="Z119" i="8" l="1"/>
  <c r="F61" i="8" s="1"/>
  <c r="Y125" i="8"/>
  <c r="Z125" i="8" s="1"/>
  <c r="F62" i="8" s="1"/>
  <c r="Z131" i="8"/>
  <c r="F63" i="8" s="1"/>
  <c r="Y38" i="8"/>
  <c r="Y137" i="8"/>
  <c r="Z137" i="8" s="1"/>
  <c r="F64" i="8" s="1"/>
  <c r="E63" i="8"/>
  <c r="Z33" i="8"/>
  <c r="Z32" i="8"/>
  <c r="D49" i="8"/>
  <c r="C74" i="8"/>
  <c r="C72" i="8"/>
  <c r="C73" i="8"/>
  <c r="D73" i="8" s="1"/>
  <c r="E59" i="8"/>
  <c r="Z15" i="8"/>
  <c r="B48" i="8" s="1"/>
  <c r="Y108" i="8"/>
  <c r="Z108" i="8" s="1"/>
  <c r="G59" i="8" s="1"/>
  <c r="D64" i="8"/>
  <c r="C76" i="8" s="1"/>
  <c r="D76" i="8" s="1"/>
  <c r="Z10" i="8"/>
  <c r="Z13" i="8" s="1"/>
  <c r="B50" i="8"/>
  <c r="Y95" i="8"/>
  <c r="Z95" i="8" s="1"/>
  <c r="F57" i="8" s="1"/>
  <c r="E61" i="8"/>
  <c r="E60" i="8"/>
  <c r="E58" i="8"/>
  <c r="Z14" i="8"/>
  <c r="E68" i="8"/>
  <c r="Z21" i="8"/>
  <c r="Z20" i="8"/>
  <c r="C49" i="8"/>
  <c r="D62" i="8"/>
  <c r="H59" i="8" s="1"/>
  <c r="Y113" i="8"/>
  <c r="Z113" i="8" s="1"/>
  <c r="F60" i="8" s="1"/>
  <c r="B45" i="8" l="1"/>
  <c r="B44" i="8"/>
  <c r="D50" i="8"/>
  <c r="Z34" i="8"/>
  <c r="Z37" i="8" s="1"/>
  <c r="E64" i="8"/>
  <c r="H64" i="8"/>
  <c r="B66" i="8"/>
  <c r="B12" i="10" s="1"/>
  <c r="C12" i="10" s="1"/>
  <c r="H63" i="8"/>
  <c r="Z38" i="8"/>
  <c r="B46" i="8"/>
  <c r="B47" i="8"/>
  <c r="H60" i="8"/>
  <c r="E62" i="8"/>
  <c r="H62" i="8"/>
  <c r="D72" i="8"/>
  <c r="C77" i="8"/>
  <c r="D77" i="8" s="1"/>
  <c r="H58" i="8"/>
  <c r="H61" i="8"/>
  <c r="D74" i="8"/>
  <c r="E74" i="8"/>
  <c r="C50" i="8"/>
  <c r="Z22" i="8"/>
  <c r="Z25" i="8" s="1"/>
  <c r="C75" i="8"/>
  <c r="D75" i="8" s="1"/>
  <c r="C45" i="8" l="1"/>
  <c r="C44" i="8"/>
  <c r="B11" i="10" s="1"/>
  <c r="C11" i="10" s="1"/>
  <c r="Z27" i="8"/>
  <c r="C48" i="8" s="1"/>
  <c r="Z26" i="8"/>
  <c r="D46" i="8"/>
  <c r="D47" i="8"/>
  <c r="B10" i="10" s="1"/>
  <c r="C10" i="10" s="1"/>
  <c r="D45" i="8"/>
  <c r="D44" i="8"/>
  <c r="Z39" i="8"/>
  <c r="D48" i="8" s="1"/>
  <c r="C46" i="8" l="1"/>
  <c r="C47" i="8"/>
</calcChain>
</file>

<file path=xl/sharedStrings.xml><?xml version="1.0" encoding="utf-8"?>
<sst xmlns="http://schemas.openxmlformats.org/spreadsheetml/2006/main" count="784" uniqueCount="673">
  <si>
    <t>CS9 · Kinh tế sản phẩm AI: chi phí, định giá, hiệu quả đầu tư — File thực hành</t>
  </si>
  <si>
    <t>AI in Action · Track 1 · Khóa 4. BẢN MẪU ĐÃ ĐIỀN (ví dụ minh hoạ, số liệu giả định — không phải số thật của doanh nghiệp nào).</t>
  </si>
  <si>
    <t>Ô tự kiểm tra: "Đạt" là ổn. "Xem lại", "Chưa đủ sốc" là câu hỏi để nhóm soát: sửa nếu nhập sai; nếu số đúng thì giữ nguyên và giải thích ở trang 7. Không chỉnh giả định chỉ để được "Đạt".</t>
  </si>
  <si>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</si>
  <si>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</si>
  <si>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</si>
  <si>
    <t>Giá token: tra bảng giá chính thức của nhà cung cấp vào ngày làm bài, ghi tên mô hình và ngày tra. Tỷ giá: ghi nguồn và ngày. Trang 9 có sẵn một số số liệu đã kiểm chứng.</t>
  </si>
  <si>
    <t>Kịch bản xấu phải là cú sốc thật: tỷ lệ rời bỏ và chi phí có một khách tối thiểu gấp 1,5 lần kịch bản cơ sở (trang 3 tự kiểm tra).</t>
  </si>
  <si>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</si>
  <si>
    <t>Tên file nộp: [Nhom]_CS9.xlsx · Nộp lên VLearn khi hết Nhiệm vụ 4.</t>
  </si>
  <si>
    <t>Nối hai buổi trước: mang phiếu bài tập 1 và bài về nhà một trang của Ngày 22 (định giá, kênh bán), và bảng theo dõi chỉ số của Ngày 23. Trang 0 chỉ chỗ dùng từng thứ.</t>
  </si>
  <si>
    <t>Nguồn tham khảo khung bài: AI in Action khóa 3 — Ngày 24 Mô hình tài chính (slide và sổ tay), Ngày 25 Định giá và đưa sản phẩm ra thị trường (Đàm Bá Quyền). File này được dựng lại cho khóa 4.</t>
  </si>
  <si>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</si>
  <si>
    <t>Đơn vị tiền: trang A tính bằng TRIỆU đồng; từ trang 1 trở đi tính bằng ĐỒNG, riêng bảng độ nhạy ở trang 5 (dòng 56–68) ghi bằng triệu đồng.</t>
  </si>
  <si>
    <t>Chú thích màu:</t>
  </si>
  <si>
    <t>Ô điền giả định (không khóa)</t>
  </si>
  <si>
    <t>Ô công thức (tự tính, đã khóa)</t>
  </si>
  <si>
    <t>Chữ xám nghiêng ở cột Gợi ý: cách lấy số và giá trị bản mẫu (không cần điền)</t>
  </si>
  <si>
    <t>0 · Nhiệm vụ 0: gom đầu vào — có thì tận dụng, chưa có thì làm mới (5 phút)</t>
  </si>
  <si>
    <t>Đánh dấu nhóm đã có hay chưa. Cả hai lối đi đều đủ điểm. Dùng số thật từ buổi trước được cộng tối đa 10 điểm.</t>
  </si>
  <si>
    <t>Có thể đã có từ buổi trước</t>
  </si>
  <si>
    <t>Nhóm đã có chưa?</t>
  </si>
  <si>
    <t>Nếu ĐÃ CÓ: dùng ở đâu</t>
  </si>
  <si>
    <t>Nếu CHƯA CÓ: làm gì</t>
  </si>
  <si>
    <t>Ghi chú (tên file, đường dẫn)</t>
  </si>
  <si>
    <t>Mô hình hiệu quả đầu tư 3–6–12 tháng và tài liệu yêu cầu sản phẩm (Phase 1, Ngày 6)</t>
  </si>
  <si>
    <t>Có</t>
  </si>
  <si>
    <t>Làm phiên bản 2; so sánh con số cũ và mới ở trang 3–5</t>
  </si>
  <si>
    <t>Dựng mới trên file này</t>
  </si>
  <si>
    <t>Bảng giám sát agent: token, chi phí theo ngày (Ngày 13)</t>
  </si>
  <si>
    <t>Chưa</t>
  </si>
  <si>
    <t>Lấy số lần gọi AI và token thật ở trang 1</t>
  </si>
  <si>
    <t>Chạy thử 5 câu hỏi, xem số token ở trang quản lý API (cách làm: trang 1, cột Gợi ý)</t>
  </si>
  <si>
    <t>Báo cáo đánh giá chất lượng (Ngày 14 hoặc buổi đánh giá Track 1)</t>
  </si>
  <si>
    <t>Tỷ lệ chưa đạt → tỷ lệ cần người kiểm tra ở trang 1</t>
  </si>
  <si>
    <t>Giả định 10–20%, ghi lý do</t>
  </si>
  <si>
    <t>Phiếu bài tập 1 và bài về nhà một trang (Ngày 22)</t>
  </si>
  <si>
    <t>Cách tính tiền, chi phí mỗi việc, giá đề xuất: chép vào trang 1–2 rồi soát lại</t>
  </si>
  <si>
    <t>Làm nhanh ở Nhiệm vụ 1–2 theo bản mẫu (cột Gợi ý ở trang 1–2)</t>
  </si>
  <si>
    <t>Bảng theo dõi chỉ số và luật xử lý (Ngày 23)</t>
  </si>
  <si>
    <t>Điền mức cảnh báo tự tính (trang 5, dòng 72–77) vào cột [TỰ TÍNH]</t>
  </si>
  <si>
    <t>Dùng bảng mức cảnh báo ở trang 5 làm khung</t>
  </si>
  <si>
    <t>Sản phẩm của nhóm từ các buổi trước</t>
  </si>
  <si>
    <t>Dùng xuyên suốt</t>
  </si>
  <si>
    <t>Nhóm ngồi chung bàn nhưng khác dự án: chọn 1 trong 3 đề bài giả định trong file CS9_DeBai_GiaDinh.pdf (đề cho sẵn số liệu trang 1–3; ghi tên đề ở cột Ghi chú)</t>
  </si>
  <si>
    <t>Số đầu vào nhóm đã có</t>
  </si>
  <si>
    <t>Điểm thưởng gợi ý (tối đa 10): 2 điểm cho mỗi đầu vào đã có và thật sự được dùng trong bài</t>
  </si>
  <si>
    <t>A · Bài tập tài chính doanh nghiệp căn bản: lập ba báo cáo tài chính</t>
  </si>
  <si>
    <t>Công ty Trợ Lý Xanh bán trợ lý AI trả lời tin nhắn. Dưới đây là mọi giao dịch của 3 tháng đầu. Lập báo cáo kết quả kinh doanh, bảng cân đối kế toán và báo cáo lưu chuyển tiền tệ.</t>
  </si>
  <si>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</si>
  <si>
    <t>ĐỀ BÀI · Giao dịch 3 tháng đầu</t>
  </si>
  <si>
    <t>STT</t>
  </si>
  <si>
    <t>Giao dịch</t>
  </si>
  <si>
    <t>Tháng 1</t>
  </si>
  <si>
    <t>Tháng 2</t>
  </si>
  <si>
    <t>Tháng 3</t>
  </si>
  <si>
    <t>Ghi chú</t>
  </si>
  <si>
    <t>Bài 1 · Vào báo cáo kết quả? (Có / Không · vì sao)</t>
  </si>
  <si>
    <t>Chủ sở hữu góp vốn bằng tiền</t>
  </si>
  <si>
    <t>Không: vốn góp là vốn chủ sở hữu, không phải doanh thu</t>
  </si>
  <si>
    <t>Vay ngân hàng, gốc trả sau 3 năm</t>
  </si>
  <si>
    <t>Lãi 12%/năm, trả cuối mỗi tháng</t>
  </si>
  <si>
    <t>Không: tiền vay là nợ; chỉ lãi vay 3 triệu/tháng vào báo cáo</t>
  </si>
  <si>
    <t>Mua máy chủ, trả tiền ngay</t>
  </si>
  <si>
    <t>Dùng 36 tháng, khấu hao đều</t>
  </si>
  <si>
    <t>Không: mua tài sản dùng lâu; chỉ khấu hao 10 triệu/tháng vào báo cáo</t>
  </si>
  <si>
    <t>Bán gói tháng cho cửa hàng nhỏ, thu tiền ngay</t>
  </si>
  <si>
    <t>Có: doanh thu tháng nào ghi tháng đó</t>
  </si>
  <si>
    <t>Ngân hàng X trả trước gói 12 tháng</t>
  </si>
  <si>
    <t>Dịch vụ chạy đều từ tháng 1</t>
  </si>
  <si>
    <t>Một phần: mỗi tháng 20 triệu; phần còn lại là doanh thu chưa thực hiện</t>
  </si>
  <si>
    <t>Dự án triển khai cho công ty Y được nghiệm thu</t>
  </si>
  <si>
    <t>Y trả tiền sau 60 ngày (tháng 4)</t>
  </si>
  <si>
    <t>Có: 90 triệu doanh thu tháng 2, khi nghiệm thu</t>
  </si>
  <si>
    <t>Chi phí gọi AI phát sinh trong tháng</t>
  </si>
  <si>
    <t>Nhà cung cấp cho trả vào tháng sau</t>
  </si>
  <si>
    <t>Có: ghi vào tháng dùng, dù trả tiền tháng sau</t>
  </si>
  <si>
    <t>Người kiểm tra câu trả lời, trả trong tháng</t>
  </si>
  <si>
    <t>Có: giá vốn</t>
  </si>
  <si>
    <t>Lương đội phát triển và bán hàng, trả trong tháng</t>
  </si>
  <si>
    <t>Có: chi phí hoạt động</t>
  </si>
  <si>
    <t>Thuê văn phòng, trả trong tháng</t>
  </si>
  <si>
    <t>Thuế thu nhập doanh nghiệp</t>
  </si>
  <si>
    <t>Lỗ lũy kế nên chưa phát sinh thuế</t>
  </si>
  <si>
    <t>Có: bằng 0 vì đang lỗ</t>
  </si>
  <si>
    <t>BÀI 1 · BÁO CÁO KẾT QUẢ KINH DOANH (10 phút). Ghi theo tháng phát sinh, không theo ngày tiền vào ra. Chi phí ghi số dương; dòng lợi nhuận = kết quả cộng trừ.</t>
  </si>
  <si>
    <t>Khoản mục</t>
  </si>
  <si>
    <t>Cộng 3 tháng</t>
  </si>
  <si>
    <t>Tự kiểm tra</t>
  </si>
  <si>
    <t>Doanh thu</t>
  </si>
  <si>
    <t>Giá vốn (gọi AI + người kiểm tra)</t>
  </si>
  <si>
    <t>Lợi nhuận gộp</t>
  </si>
  <si>
    <t>Chi phí hoạt động (lương + văn phòng)</t>
  </si>
  <si>
    <t>Lợi nhuận trước lãi vay, thuế và khấu hao (EBITDA)</t>
  </si>
  <si>
    <t>Khấu hao</t>
  </si>
  <si>
    <t>Lợi nhuận hoạt động</t>
  </si>
  <si>
    <t>Lãi vay</t>
  </si>
  <si>
    <t>Lợi nhuận trước thuế</t>
  </si>
  <si>
    <t>Lợi nhuận sau thuế</t>
  </si>
  <si>
    <t>Biên lợi nhuận gộp</t>
  </si>
  <si>
    <t>KIỂM TRA ghi theo kỳ: tổng lợi nhuận sau thuế 3 tháng (ô F31) có bằng −174 (số ở câu 3) không?</t>
  </si>
  <si>
    <t>BÀI 2 · BẢNG CÂN ĐỐI KẾ TOÁN cuối tháng 3 (Bài 2 và 3: 14 phút). Hao mòn lũy kế ghi số âm; lợi nhuận giữ lại đang lỗ thì ghi số âm.</t>
  </si>
  <si>
    <t>Số tiền</t>
  </si>
  <si>
    <t>TÀI SẢN</t>
  </si>
  <si>
    <t>Tiền</t>
  </si>
  <si>
    <t>Phải thu khách hàng</t>
  </si>
  <si>
    <t>Máy chủ — nguyên giá</t>
  </si>
  <si>
    <t>Hao mòn lũy kế</t>
  </si>
  <si>
    <t>Tổng tài sản</t>
  </si>
  <si>
    <t>NỢ PHẢI TRẢ</t>
  </si>
  <si>
    <t>Phải trả nhà cung cấp</t>
  </si>
  <si>
    <t>Doanh thu chưa thực hiện</t>
  </si>
  <si>
    <t>Vay ngân hàng</t>
  </si>
  <si>
    <t>Tổng nợ phải trả</t>
  </si>
  <si>
    <t>VỐN CHỦ SỞ HỮU</t>
  </si>
  <si>
    <t>Vốn góp</t>
  </si>
  <si>
    <t>Lợi nhuận giữ lại</t>
  </si>
  <si>
    <t>Tổng vốn chủ sở hữu</t>
  </si>
  <si>
    <t>Tổng nợ phải trả + vốn chủ sở hữu</t>
  </si>
  <si>
    <t>KIỂM TRA: Tài sản = Nợ phải trả + Vốn chủ sở hữu?</t>
  </si>
  <si>
    <t>KIỂM TRA: Lợi nhuận giữ lại = tổng lợi nhuận sau thuế 3 tháng (bài 1)?</t>
  </si>
  <si>
    <t>BÀI 3 · BÁO CÁO LƯU CHUYỂN TIỀN TỆ 3 tháng, phương pháp gián tiếp. Tiền vào ghi số dương, tiền ra ghi số âm; dòng 58–61 theo đúng chữ "Cộng" / "Trừ" ở đầu dòng.</t>
  </si>
  <si>
    <t>Cộng: khấu hao (không phải tiền chi ra) → số dương</t>
  </si>
  <si>
    <t>Trừ: phải thu khách hàng tăng thêm (đã ghi doanh thu, chưa thu tiền) → số âm</t>
  </si>
  <si>
    <t>Cộng: phải trả nhà cung cấp tăng thêm (đã ghi chi phí, chưa trả tiền) → số dương</t>
  </si>
  <si>
    <t>Cộng: doanh thu chưa thực hiện tăng thêm (khách trả trước) → số dương</t>
  </si>
  <si>
    <t>Dòng tiền từ hoạt động kinh doanh</t>
  </si>
  <si>
    <t>Mua máy chủ (tiền ra → số âm)</t>
  </si>
  <si>
    <t>Dòng tiền từ hoạt động đầu tư</t>
  </si>
  <si>
    <t>Góp vốn (tiền vào → số dương)</t>
  </si>
  <si>
    <t>Vay ngân hàng (tiền vào → số dương)</t>
  </si>
  <si>
    <t>Dòng tiền từ hoạt động tài chính</t>
  </si>
  <si>
    <t>Tiền tăng thêm trong kỳ</t>
  </si>
  <si>
    <t>Tiền đầu kỳ</t>
  </si>
  <si>
    <t>Tiền cuối kỳ</t>
  </si>
  <si>
    <t>KIỂM TRA: Tiền cuối kỳ = dòng Tiền trên bảng cân đối?</t>
  </si>
  <si>
    <t>KIỂM TRA: Lợi nhuận sau thuế = bài 1?</t>
  </si>
  <si>
    <t>CÂU HỎI 1–4 (làm sau Bài 2 và 3; câu 4 làm khi xong sớm). Mỗi câu 1–2 câu văn.</t>
  </si>
  <si>
    <t>1. Tháng nào có lãi? Trong tháng đó tiền mặt tăng hay giảm, bao nhiêu, vì sao? (Gợi ý: chỉ cộng tiền thật vào và ra trong tháng đó: tiền gọi AI tháng 1 trả trong tháng 2; 90 triệu dự án Y chưa thu.)</t>
  </si>
  <si>
    <t>Tháng 2 lãi 2 triệu nhưng tiền giảm 88 triệu (1.077 → 989): 90 triệu dự án Y đã ghi doanh thu mà chưa thu, lại trả 15 triệu tiền gọi AI của tháng 1.</t>
  </si>
  <si>
    <t>2. 240 triệu ngân hàng X trả trước nằm ở đâu trên bảng cân đối cuối tháng 3, bao nhiêu? Vì sao không ghi hết vào doanh thu?</t>
  </si>
  <si>
    <t>180 triệu ở dòng Doanh thu chưa thực hiện (nợ phải trả): công ty còn nợ ngân hàng 9 tháng dịch vụ. Chỉ 60 triệu của 3 tháng đã phục vụ mới là doanh thu.</t>
  </si>
  <si>
    <t>3. Lỗ 174 triệu mà dòng tiền kinh doanh chỉ âm 19 triệu. Khoản nào bù vào? Có nên vui không?</t>
  </si>
  <si>
    <t>Chủ yếu là 180 triệu khách trả trước, thêm 35 triệu chưa trả nhà cung cấp và 30 triệu khấu hao. Đó là tiền còn nợ dịch vụ và nợ nhà cung cấp, không phải tiền lãi.</t>
  </si>
  <si>
    <t>4. (Xong sớm) Nếu từ tháng 4 mọi thứ giữ như tháng 3, công ty còn trụ được khoảng bao nhiêu tháng?</t>
  </si>
  <si>
    <t>Mỗi tháng thu 110, chi 188 (10 + 35 + 120 + 20 + 3), đốt 78 triệu. (921 + 90 triệu Y trả ở tháng 4) ÷ 78 ≈ 13 tháng.</t>
  </si>
  <si>
    <t>BÀI 5 · (Xong sớm) MUA MÁY CHỦ HAY THUÊ ĐÁM MÂY — so bằng giá trị hiện tại</t>
  </si>
  <si>
    <t>Mua: trả 360 triệu ngay, dùng 36 tháng. Thuê đám mây cùng cấu hình: 12 triệu/tháng, trả cuối mỗi tháng, trong 36 tháng. Bỏ qua chi phí vận hành và giá trị còn lại của máy.</t>
  </si>
  <si>
    <t>Giá mua máy chủ (triệu đồng)</t>
  </si>
  <si>
    <t>Tiền thuê mỗi tháng (triệu đồng)</t>
  </si>
  <si>
    <t>Số tháng</t>
  </si>
  <si>
    <t>Chi phí vốn / năm</t>
  </si>
  <si>
    <t>Giá trị hiện tại của 36 tháng tiền thuê. Gợi ý: =PV(C85/12; C84; -C83). Dấu trừ trước C83 để kết quả là số dương; máy đặt tiếng Anh dùng dấu phẩy thay dấu chấm phẩy.</t>
  </si>
  <si>
    <t>Nên mua hay thuê? (chọn Mua hoặc Thuê trong danh sách)</t>
  </si>
  <si>
    <t>Thuê</t>
  </si>
  <si>
    <t>Nếu chi phí vốn chỉ 8%/năm: giá trị hiện tại của tiền thuê (gợi ý: =PV(0,08/12; C84; -C83))</t>
  </si>
  <si>
    <t>Khi đó nên mua hay thuê?</t>
  </si>
  <si>
    <t>Mua</t>
  </si>
  <si>
    <t>1 · Chi phí để AI làm xong 1 việc</t>
  </si>
  <si>
    <t>'Việc' = 1 đơn vị công việc khách nhận được, ví dụ: 1 hội thoại được trả lời, 1 hồ sơ được đọc, 1 cuộc gọi.</t>
  </si>
  <si>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</si>
  <si>
    <t>Hạng mục</t>
  </si>
  <si>
    <t>Giá trị</t>
  </si>
  <si>
    <t>Đơn vị</t>
  </si>
  <si>
    <t>Nguồn / lý do</t>
  </si>
  <si>
    <t>Gợi ý cách lấy số · bản mẫu</t>
  </si>
  <si>
    <t>Mô tả 1 việc (Ngày 22 gọi là job)</t>
  </si>
  <si>
    <t>Trợ lý AI trả lời 1 hội thoại Zalo của khách cho cửa hàng nhỏ</t>
  </si>
  <si>
    <t>Một câu: AI nhận gì, trả ra gì cho khách. Bản mẫu: trả lời 1 hội thoại Zalo của khách cho cửa hàng nhỏ.</t>
  </si>
  <si>
    <t>Số lần gọi mô hình / việc</t>
  </si>
  <si>
    <t>lần</t>
  </si>
  <si>
    <t>Trợ lý AI: hiểu câu hỏi → tra cứu → soạn trả lời</t>
  </si>
  <si>
    <t>Đếm số bước phải gọi mô hình cho 1 việc: hiểu câu hỏi, tra cứu, soạn trả lời, tự kiểm tra. Bản mẫu: 2.</t>
  </si>
  <si>
    <t>Token đầu vào / lần gọi</t>
  </si>
  <si>
    <t>token</t>
  </si>
  <si>
    <t>Câu lệnh + ngữ cảnh + lịch sử hội thoại (giả định minh hoạ)</t>
  </si>
  <si>
    <t>Gồm câu lệnh hệ thống + tài liệu tra cứu + lịch sử hội thoại + câu hỏi. Có bảng giám sát agent thì lấy số thật; chưa có thì chạy thử 5 câu và xem số token ở trang quản lý API. Bản mẫu: 2.000.</t>
  </si>
  <si>
    <t>Token đầu ra / lần gọi</t>
  </si>
  <si>
    <t>Giả định minh hoạ: câu trả lời ngắn 1–3 câu tiếng Việt</t>
  </si>
  <si>
    <t>Độ dài câu trả lời, đếm bằng cách chạy thử. Bản mẫu: 300 (1–3 câu ngắn).</t>
  </si>
  <si>
    <t>Giá token đầu vào</t>
  </si>
  <si>
    <t>USD / 1 triệu token</t>
  </si>
  <si>
    <t>Mô hình nhỏ giả định; giá nằm giữa GPT-6 Luna (0,10) và Claude Haiku 4.5 (1) — xem trang 9, tra ngày 04/10/2026</t>
  </si>
  <si>
    <t>Chọn 1 mô hình ở trang 9 hoặc trang giá chính thức. Ghi tên mô hình, ngày tra, đường dẫn ở cột D. Bản mẫu: 0,4 USD (mô hình nhỏ giả định; nhóm thay bằng giá mô hình thật).</t>
  </si>
  <si>
    <t>Giá token đầu ra</t>
  </si>
  <si>
    <t>Như trên; GPT-6 Luna 0,50 · Claude Haiku 4.5 5 USD — xem trang 9</t>
  </si>
  <si>
    <t>Như dòng 9. Giá đầu ra thường cao hơn đầu vào nhiều lần. Bản mẫu: 1,6 USD.</t>
  </si>
  <si>
    <t>Tỷ giá</t>
  </si>
  <si>
    <t>VND / USD</t>
  </si>
  <si>
    <t>Làm tròn từ giá bán USD Vietcombank 26.170 đ ngày 04/10/2026 — xem trang 9</t>
  </si>
  <si>
    <t>Tỷ giá bán ra Vietcombank ở trang 9 (26.170 đồng, ngày 04/10/2026) hoặc tra mới, ghi ngày. Bản mẫu: 26.000.</t>
  </si>
  <si>
    <t>Tỷ lệ gọi lại khi lỗi</t>
  </si>
  <si>
    <t>%</t>
  </si>
  <si>
    <t>Giả định minh hoạ: sai định dạng, hết thời gian chờ, công cụ lỗi</t>
  </si>
  <si>
    <t>Tỷ lệ việc phải gọi lại vì lỗi, hết thời gian chờ, trả lời hỏng. Chưa đo: giả định 5–10%, ghi lý do. Bản mẫu: 10%.</t>
  </si>
  <si>
    <t>Hạ tầng / việc (máy chủ, cơ sở dữ liệu, gửi tin)</t>
  </si>
  <si>
    <t>VND</t>
  </si>
  <si>
    <t>Chia chi phí hạ tầng hằng tháng cho số việc (giả định minh hoạ)</t>
  </si>
  <si>
    <t>Hoá đơn hạ tầng tăng theo lượt dùng (máy chủ, cơ sở dữ liệu, gửi tin) mỗi tháng ÷ số việc mỗi tháng. Phần trả cố định hằng tháng để ở trang 3, dòng 11. Bản mẫu: 100 đồng.</t>
  </si>
  <si>
    <t>Tỷ lệ việc cần người kiểm tra</t>
  </si>
  <si>
    <t>Ca khó, khiếu nại, đơn giá trị lớn (giả định minh hoạ)</t>
  </si>
  <si>
    <t>Lấy từ báo cáo đánh giá chất lượng (tỷ lệ trả lời chưa đạt). Chưa có: giả định 10–20%. Bản mẫu: 10%.</t>
  </si>
  <si>
    <t>Số phút người kiểm tra / việc</t>
  </si>
  <si>
    <t>phút</t>
  </si>
  <si>
    <t>Giả định minh hoạ: đọc lại và sửa 1 câu trả lời</t>
  </si>
  <si>
    <t>Thời gian 1 người đọc và sửa 1 kết quả. Bản mẫu: 1,5 phút.</t>
  </si>
  <si>
    <t>Chi phí nhân sự kiểm tra</t>
  </si>
  <si>
    <t>VND / giờ</t>
  </si>
  <si>
    <t>Gồm lương + bảo hiểm; giả định minh hoạ, cao hơn lương tối thiểu giờ vùng I 25.500 đ (trang 9)</t>
  </si>
  <si>
    <t>Bằng (lương tháng + bảo hiểm) ÷ số giờ làm mỗi tháng (khoảng 176–208 giờ). Lương tối thiểu ở trang 9 chỉ là mức sàn. Bản mẫu: 60.000 đồng/giờ.</t>
  </si>
  <si>
    <t>Đánh giá chất lượng, giám sát, gán nhãn lại / việc</t>
  </si>
  <si>
    <t>Chia chi phí đánh giá và gán nhãn hằng tháng cho số việc (giả định minh hoạ)</t>
  </si>
  <si>
    <t>Chi phí chạy bộ câu hỏi đánh giá, gán nhãn lại mỗi tháng ÷ số việc mỗi tháng. Bản mẫu: 60 đồng.</t>
  </si>
  <si>
    <t>Chi phí khác / việc (tuân thủ, lưu nhật ký…)</t>
  </si>
  <si>
    <t>Giả định minh hoạ: lưu nhật ký 12 tháng; chưa tính tư vấn tuân thủ</t>
  </si>
  <si>
    <t>Lưu nhật ký, bảo mật, tuân thủ. Ghi 0 thì nói vì sao. Bản mẫu: 30 đồng.</t>
  </si>
  <si>
    <t>KẾT QUẢ</t>
  </si>
  <si>
    <t>Chi phí gọi AI / việc (đã tính gọi lại)</t>
  </si>
  <si>
    <t>Chi phí người kiểm tra / việc</t>
  </si>
  <si>
    <t>Hạ tầng + đánh giá + khác / việc</t>
  </si>
  <si>
    <t>TỔNG CHI PHÍ MỖI VIỆC</t>
  </si>
  <si>
    <t>Bản mẫu: khoảng 413 đồng mỗi việc, trong đó gọi AI chỉ khoảng 73 đồng.</t>
  </si>
  <si>
    <t>Phần chìm so với chi phí gọi AI</t>
  </si>
  <si>
    <t>Dưới 30%: rà lại xem đã đủ các khoản chưa (kinh nghiệm giảng viên). Không thêm khoản bịa chỉ để đạt mốc.</t>
  </si>
  <si>
    <t>Giá sàn mỗi việc = 3 × chi phí mỗi việc</t>
  </si>
  <si>
    <t>Dùng cho giá từng việc, kể cả giá vượt hạn mức (biên ≈ 67%): chừa đệm cho khách dùng nhiều và giá AI biến động</t>
  </si>
  <si>
    <t>Giá tối thiểu để biên lợi nhuận gộp đạt 60%</t>
  </si>
  <si>
    <t>Giá bình quân mỗi việc của cả tệp khách nên cao hơn số này (để biên bình quân ≥ 60%, trang 4 và 7). Giá từng việc, kể cả phí vượt, dùng dòng 26.</t>
  </si>
  <si>
    <t>2 · Định giá: cách tính tiền, gói giá và nhóm khách dùng nhiều</t>
  </si>
  <si>
    <t>So sánh gói kết hợp (phí cố định + phí vượt hạn mức) với gói không giới hạn để thấy rủi ro từ nhóm khách dùng nhiều.</t>
  </si>
  <si>
    <t>Mục</t>
  </si>
  <si>
    <t>Khách trả tiền từ ngân sách nào?</t>
  </si>
  <si>
    <t>Ngân sách nhân sự (thay 1 ca trực tin nhắn)</t>
  </si>
  <si>
    <t>Phần mềm hay Nhân sự?</t>
  </si>
  <si>
    <t>Sản phẩm thay một phần ca trực tin nhắn</t>
  </si>
  <si>
    <t>Cách tính tiền đã chọn</t>
  </si>
  <si>
    <t>Kết hợp (phí cố định + vượt hạn mức)</t>
  </si>
  <si>
    <t>Bảng giá dưới luôn có dạng phí cố định + phí mỗi việc vượt hạn mức. Cách nhập cho từng cách tính tiền: dòng 35–40.</t>
  </si>
  <si>
    <t>Lý do chọn (hai câu hỏi: đo được kết quả? AI tự làm trọn?)</t>
  </si>
  <si>
    <t>Ma trận Ngày 22: AI tự làm trọn (chỉ 10% việc cần người), chưa đo được kết quả do AI → theo lượt dùng. Đóng thành gói 300 việc + phí vượt (bước "gói cố định" của Ngày 22) để khách đoán được hoá đơn</t>
  </si>
  <si>
    <t>Neo giá so với cái gì?</t>
  </si>
  <si>
    <t>Lương 1 nhân viên trực tin nhắn bán thời gian ~4–5 triệu/tháng</t>
  </si>
  <si>
    <t>Lương hoặc chi phí thuê ngoài, không so với giá ChatGPT</t>
  </si>
  <si>
    <t>Giả định minh hoạ; cần phỏng vấn chủ cửa hàng</t>
  </si>
  <si>
    <t>Phí cố định / khách / tháng</t>
  </si>
  <si>
    <t>Khoảng 1/10 lương ca trực (giả định minh hoạ)</t>
  </si>
  <si>
    <t>Số việc đã gồm trong phí cố định</t>
  </si>
  <si>
    <t>việc / tháng</t>
  </si>
  <si>
    <t>Giả định: cửa hàng nhỏ ~10 hội thoại/ngày</t>
  </si>
  <si>
    <t>Giá mỗi việc vượt hạn mức</t>
  </si>
  <si>
    <t>VND / việc</t>
  </si>
  <si>
    <t>Phải ≥ giá sàn mỗi việc ở trang 1</t>
  </si>
  <si>
    <t>Giá gói không giới hạn (để so sánh; thường = phí cố định dòng 9)</t>
  </si>
  <si>
    <t>VND / tháng</t>
  </si>
  <si>
    <t>Bằng phí cố định, chỉ để so sánh rủi ro</t>
  </si>
  <si>
    <t>Nhóm khách</t>
  </si>
  <si>
    <t>Tỷ trọng số khách (2 dòng cộng = 100%)</t>
  </si>
  <si>
    <t>Số việc / 1 khách / tháng</t>
  </si>
  <si>
    <t>Doanh thu / khách (gói kết hợp)</t>
  </si>
  <si>
    <t>Chi phí AI / khách (= số việc × chi phí mỗi việc)</t>
  </si>
  <si>
    <t>Biên lợi nhuận gộp (kết hợp)</t>
  </si>
  <si>
    <t>Doanh thu / khách (không giới hạn)</t>
  </si>
  <si>
    <t>Biên lợi nhuận gộp (không giới hạn)</t>
  </si>
  <si>
    <t>Khách thường</t>
  </si>
  <si>
    <t>Giả định minh hoạ: cửa hàng nhỏ, dùng trong hạn mức</t>
  </si>
  <si>
    <t>Khách dùng nhiều</t>
  </si>
  <si>
    <t>Giả định minh hoạ: cửa hàng đông khách ~100 hội thoại/ngày</t>
  </si>
  <si>
    <t>BÌNH QUÂN (theo tỷ trọng)</t>
  </si>
  <si>
    <t>Kiểm tra: tổng tỷ trọng phải = 100%</t>
  </si>
  <si>
    <t>Kiểm tra: giá mỗi việc vượt hạn mức ≥ giá sàn mỗi việc (trang 1, dòng 26)?</t>
  </si>
  <si>
    <t>Tỷ trọng doanh thu đến từ khách dùng nhiều</t>
  </si>
  <si>
    <t>Trong đó: phí vượt hạn mức</t>
  </si>
  <si>
    <t>Cảnh báo phụ thuộc</t>
  </si>
  <si>
    <t>PHÉP THỬ GIÁ: dùng chính quy tắc của Ngày 22 và chỉ số của Ngày 23</t>
  </si>
  <si>
    <t>Lương 1 tháng của người được thay</t>
  </si>
  <si>
    <t>Giả định minh hoạ: nhân viên trực tin nhắn bán thời gian 4–5 triệu</t>
  </si>
  <si>
    <t>Tỷ lệ chia doanh thu cho đối tác / kênh bán</t>
  </si>
  <si>
    <t>% doanh thu</t>
  </si>
  <si>
    <t>Bán trực tiếp nên 0%. Bán qua đối tác thì nhập tỷ lệ chia</t>
  </si>
  <si>
    <t>Trả mỗi tháng</t>
  </si>
  <si>
    <t>So với lương người được thay</t>
  </si>
  <si>
    <t>Quy tắc neo 50–70% lương (Ngày 22)</t>
  </si>
  <si>
    <t>Tiền AI ÷ doanh thu (chỉ số Ngày 23)</t>
  </si>
  <si>
    <t>Mức theo Ngày 23</t>
  </si>
  <si>
    <t>Khách dùng nhiều, gói kết hợp</t>
  </si>
  <si>
    <t>Khách dùng nhiều, nếu bán gói không giới hạn</t>
  </si>
  <si>
    <t>Biên lợi nhuận gộp bình quân sau khi chia cho đối tác</t>
  </si>
  <si>
    <t>Ngày 23: trên 50% ổn · 35–50% đáng lo · dưới 35% nguy</t>
  </si>
  <si>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</si>
  <si>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</si>
  <si>
    <t>CÁCH NHẬP DÒNG 9–12 THEO CÁCH TÍNH TIỀN ĐÃ CHỌN Ở DÒNG 6</t>
  </si>
  <si>
    <t>Theo lượt dùng</t>
  </si>
  <si>
    <t>Dòng 9 = 0 · dòng 10 = 0 · dòng 11 = giá mỗi việc</t>
  </si>
  <si>
    <t>Theo người dùng (tài khoản)</t>
  </si>
  <si>
    <t>Dòng 9 = giá mỗi tài khoản × số tài khoản của 1 khách · dòng 10 = mức dùng hợp lý · dòng 11 = phí vượt (không thu thì để trống, bỏ qua dòng 19, xem rủi ro ở dòng 31)</t>
  </si>
  <si>
    <t>Theo kết quả</t>
  </si>
  <si>
    <t>Dòng 9 = 0 · dòng 10 = 0 · dòng 11 = giá mỗi kết quả × tỷ lệ việc ra kết quả</t>
  </si>
  <si>
    <t>Kết hợp (bản mẫu)</t>
  </si>
  <si>
    <t>Dòng 9 = 499.000 · dòng 10 = 300 việc · dòng 11 = 1.500 đồng mỗi việc</t>
  </si>
  <si>
    <t>Dòng 12</t>
  </si>
  <si>
    <t>Chỉ để so sánh: nhập bằng phí cố định dòng 9; nếu dòng 9 = 0 thì nhập mức trọn gói nhóm từng cân nhắc.</t>
  </si>
  <si>
    <t>3 · Giả định cho 3 kịch bản</t>
  </si>
  <si>
    <t>Lạc quan = để trình bày với nhà đầu tư · Cơ sở = để lập kế hoạch · Xấu = để sống sót. Điền cột CƠ SỞ trước, có nguồn hoặc lý do cho từng dòng.</t>
  </si>
  <si>
    <t>Giả định</t>
  </si>
  <si>
    <t>Lạc quan</t>
  </si>
  <si>
    <t>Cơ sở</t>
  </si>
  <si>
    <t>Xấu</t>
  </si>
  <si>
    <t>Gợi ý · bản mẫu (Lạc quan / Cơ sở / Xấu)</t>
  </si>
  <si>
    <t>Hệ số doanh thu bình quân so với trang 2 (1 = giữ nguyên · 1,1 = cao hơn 10% · 0,8 = thấp hơn 20%)</t>
  </si>
  <si>
    <t>×</t>
  </si>
  <si>
    <t>Xấu: bị ép giảm giá; lạc quan: bán được gói cao hơn (giả định minh hoạ)</t>
  </si>
  <si>
    <t>Bản mẫu: 1,1 / 1 / 0,8. Xấu: bị ép giảm giá; lạc quan: bán được gói cao hơn.</t>
  </si>
  <si>
    <t>Hệ số chi phí AI / khách so với trang 2 (gõ như dòng 5)</t>
  </si>
  <si>
    <t>Giá gọi AI hoặc cách khách dùng thay đổi (giả định minh hoạ)</t>
  </si>
  <si>
    <t>Bản mẫu: 0,9 / 1 / 1,2. Giá gọi AI hoặc cách khách dùng thay đổi.</t>
  </si>
  <si>
    <t>Khách mới tháng 1 (số khách ký được trong tháng đầu bán)</t>
  </si>
  <si>
    <t>khách</t>
  </si>
  <si>
    <t>Giả định minh hoạ: 1 nhân viên bán hàng ký ~1 cửa hàng mỗi ngày làm việc</t>
  </si>
  <si>
    <t>Cơ sở: số khách đội bán hàng ký được thật trong tháng đầu. Bản mẫu: 40 / 30 / 15.</t>
  </si>
  <si>
    <t>Tăng trưởng khách mới / tháng (tính kép: 5%/tháng → tháng 24 gấp khoảng 3 lần tháng 1; 20%/tháng → gấp khoảng 66 lần)</t>
  </si>
  <si>
    <t>Giả định minh hoạ: nhờ khách giới thiệu và mở thêm kênh</t>
  </si>
  <si>
    <t>Bản mẫu: 8% / 5% / 2%. Trên 10% mỗi tháng cần lý do rất chắc.</t>
  </si>
  <si>
    <t>Tỷ lệ rời bỏ / tháng</t>
  </si>
  <si>
    <t>Giả định minh hoạ — chưa có nguồn công khai đã kiểm chứng (trang 9). Nhóm thật: lấy từ phỏng vấn hoặc thử nghiệm</t>
  </si>
  <si>
    <t>Chưa có số đo: lấy từ phỏng vấn hoặc thử nghiệm, ghi "Giả định". Xấu phải ≥ 1,5 × cơ sở. Bản mẫu: 3% / 5% / 8%.</t>
  </si>
  <si>
    <t>Chi phí có một khách (CAC) = tiền quảng cáo và bán hàng 1 tháng ÷ số khách mới tháng đó</t>
  </si>
  <si>
    <t>VND / khách</t>
  </si>
  <si>
    <t>Quảng cáo + bán hàng / khách mới; giả định minh hoạ, chưa có nguồn (trang 9)</t>
  </si>
  <si>
    <t>Xấu phải ≥ 1,5 × cơ sở. Bản mẫu: 1,2 / 1,5 / 2,3 triệu đồng.</t>
  </si>
  <si>
    <t>Chi phí cố định / tháng (lương đội, văn phòng, hạ tầng trả cố định)</t>
  </si>
  <si>
    <t>Đội 4–5 người, gồm lương và văn phòng (giả định minh hoạ)</t>
  </si>
  <si>
    <t>Gõ đủ số đồng. Gồm lương đội phát triển (đã tách khỏi trang 1) và chi phí kiểm thử lại mỗi khi đổi mô hình hoặc câu lệnh. Bản mẫu: 150 triệu.</t>
  </si>
  <si>
    <t>Chi phí xây dựng ban đầu, gồm chi phí thử sai (chi một lần ở tháng 0)</t>
  </si>
  <si>
    <t>3 lập trình viên × 4 tháng xây dựng và thử sai + hạ tầng, token chạy thử (giả định minh hoạ)</t>
  </si>
  <si>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</si>
  <si>
    <t>Tiền mặt hoặc ngân sách đã duyệt (trước khi chi xây dựng)</t>
  </si>
  <si>
    <t>Giả định minh hoạ: vốn đã gọi được</t>
  </si>
  <si>
    <t>Gõ đủ số đồng. Dự án trong công ty: ghi ngân sách đã duyệt. Để trống thì mọi kịch bản hết tiền ngay tháng 1. Bản mẫu: 2 tỷ.</t>
  </si>
  <si>
    <t>Lãi suất chiết khấu / năm</t>
  </si>
  <si>
    <t>Giả định của lớp: chi phí vốn cho dự án rủi ro cao</t>
  </si>
  <si>
    <t>Giữ 15% nếu không có lý do khác.</t>
  </si>
  <si>
    <t>Giá trị tính ra</t>
  </si>
  <si>
    <t>Doanh thu bình quân / khách / tháng</t>
  </si>
  <si>
    <t>Chi phí AI (giá vốn) / khách / tháng</t>
  </si>
  <si>
    <t>Doanh thu bình quân đã trừ phần chia cho đối tác (trang 2, dòng 27).</t>
  </si>
  <si>
    <t>Kiểm tra kịch bản xấu</t>
  </si>
  <si>
    <t>Tỷ lệ rời bỏ (xấu) ≥ 1,5 × cơ sở?</t>
  </si>
  <si>
    <t>Chi phí có một khách (xấu) ≥ 1,5 × cơ sở?</t>
  </si>
  <si>
    <t>4 · Chỉ số trên mỗi khách: có lãi trên từng khách không?</t>
  </si>
  <si>
    <t>Giá trị vòng đời (LTV) tính trên lợi nhuận gộp, KHÔNG tính trên doanh thu.</t>
  </si>
  <si>
    <t>Chỉ số</t>
  </si>
  <si>
    <t>Ngưỡng tham khảo</t>
  </si>
  <si>
    <t>Lợi nhuận gộp / khách / tháng</t>
  </si>
  <si>
    <t>≥ 60%</t>
  </si>
  <si>
    <t>Số tháng khách ở lại = 1 ÷ tỷ lệ rời bỏ</t>
  </si>
  <si>
    <t>Giá trị vòng đời (LTV) = lợi nhuận gộp × số tháng ở lại</t>
  </si>
  <si>
    <t>Chi phí có một khách (CAC)</t>
  </si>
  <si>
    <t>LTV ÷ CAC (lần)</t>
  </si>
  <si>
    <t>&gt; 3 (Ngày 23); mô hình của bạn: trang 5, dòng 74</t>
  </si>
  <si>
    <t>Thời gian hoàn vốn chi phí có khách (tháng)</t>
  </si>
  <si>
    <t>&lt; 12 tháng</t>
  </si>
  <si>
    <t>Đánh giá</t>
  </si>
  <si>
    <t>5 · Dòng tiền 24 tháng và hiệu quả đầu tư (3 kịch bản)</t>
  </si>
  <si>
    <t>Trang này tự tính: chỉ đọc kết quả, trừ ô vàng B54 (mức làm xấu). Kết quả chỉ có nghĩa khi trang 1–3 đã điền đủ. Tháng 0 = chi phí xây dựng. Bảng độ nhạy ở dòng 53, mức cảnh báo tự tính ở dòng 70–77.</t>
  </si>
  <si>
    <t>Kịch bản / dòng</t>
  </si>
  <si>
    <t>Tháng 0</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</si>
  <si>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</si>
  <si>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</si>
  <si>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</si>
  <si>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</si>
  <si>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</si>
  <si>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</si>
  <si>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</si>
  <si>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</si>
  <si>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</si>
  <si>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</si>
  <si>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</si>
  <si>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</si>
  <si>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</si>
  <si>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</si>
  <si>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</si>
  <si>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</si>
  <si>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</si>
  <si>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</si>
  <si>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</si>
  <si>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</si>
  <si>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</si>
  <si>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</si>
  <si>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</si>
  <si>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</si>
  <si>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LẠC QUAN</t>
  </si>
  <si>
    <t>Khách mới</t>
  </si>
  <si>
    <t>Khách đang dùng</t>
  </si>
  <si>
    <t>Chi phí AI (giá vốn)</t>
  </si>
  <si>
    <t>Chi phí bán hàng (chi phí có khách × khách mới)</t>
  </si>
  <si>
    <t>Chi phí cố định</t>
  </si>
  <si>
    <t>Dòng tiền ròng</t>
  </si>
  <si>
    <t>Tiền mặt cuối kỳ</t>
  </si>
  <si>
    <t>Dòng tiền lũy kế của dự án</t>
  </si>
  <si>
    <t>CƠ SỞ</t>
  </si>
  <si>
    <t>XẤU</t>
  </si>
  <si>
    <t>TÓM TẮT HIỆU QUẢ ĐẦU TƯ</t>
  </si>
  <si>
    <t>Giá trị hiện tại ròng 24 tháng (đồng; lớn hơn 0 là đáng làm)</t>
  </si>
  <si>
    <t>&gt; 0</t>
  </si>
  <si>
    <t>Tỷ suất hoàn vốn nội bộ (IRR, quy ra năm)</t>
  </si>
  <si>
    <t>&gt; chi phí vốn</t>
  </si>
  <si>
    <t>Lãi suất làm giá trị hiện tại ròng bằng 0; so với chi phí vốn 15%. Số rất lớn ở kịch bản lạc quan là do vốn quay về nhanh — chỉ dùng để so sánh, không đọc như lợi nhuận.</t>
  </si>
  <si>
    <t>Tiền mặt thấp nhất</t>
  </si>
  <si>
    <t>Tháng hết tiền</t>
  </si>
  <si>
    <t>Không hết trong 12 tháng đầu</t>
  </si>
  <si>
    <t>Chỉ báo khi tiền mặt âm trong 24 tháng. Kịch bản cơ sở có thể luôn "Không hết tiền" — khi thử độ nhạy, hãy nhìn giá trị hiện tại ròng.</t>
  </si>
  <si>
    <t>Hoàn vốn dự án</t>
  </si>
  <si>
    <t>&lt; 24 tháng</t>
  </si>
  <si>
    <t>Khách đang dùng tháng 24</t>
  </si>
  <si>
    <t>Doanh thu tháng 24</t>
  </si>
  <si>
    <t>BẢNG ĐỘ NHẠY (kịch bản cơ sở): làm xấu từng biến, mỗi lần một biến</t>
  </si>
  <si>
    <t>Mức làm xấu</t>
  </si>
  <si>
    <t>Có thể đổi thành 10% hoặc 30% để thử</t>
  </si>
  <si>
    <t>Biến làm xấu</t>
  </si>
  <si>
    <t>Giá trị cơ sở</t>
  </si>
  <si>
    <t>Giá trị sau khi làm xấu</t>
  </si>
  <si>
    <t>Giá trị hiện tại ròng 24 tháng (triệu đồng)</t>
  </si>
  <si>
    <t>Chênh lệch so với cơ sở (triệu đồng)</t>
  </si>
  <si>
    <t>Tháng hoàn vốn</t>
  </si>
  <si>
    <t>Mức nguy hiểm (1 = nhất)</t>
  </si>
  <si>
    <t>Không đổi (cơ sở)</t>
  </si>
  <si>
    <t>—</t>
  </si>
  <si>
    <t>Doanh thu bình quân giảm</t>
  </si>
  <si>
    <t>Chi phí AI tăng</t>
  </si>
  <si>
    <t>Tỷ lệ rời bỏ tăng</t>
  </si>
  <si>
    <t>Chi phí có một khách tăng</t>
  </si>
  <si>
    <t>Khách mới tháng đầu giảm</t>
  </si>
  <si>
    <t>Tăng trưởng khách mới giảm</t>
  </si>
  <si>
    <t>Chi phí cố định tăng</t>
  </si>
  <si>
    <t>Biến nguy hiểm nhất</t>
  </si>
  <si>
    <t>Tình huống: khách dùng nhiều bỏ đi, thay bằng khách thường</t>
  </si>
  <si>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</si>
  <si>
    <t>MỨC CẢNH BÁO TỰ TÍNH (kịch bản cơ sở): chép vào cột [TỰ TÍNH] của bảng theo dõi Ngày 23. Nếu giá trị hiện tại ròng cơ sở (D57) đang âm, cột C là mức PHẢI ĐẠT để hoà vốn, chưa phải mức cảnh báo.</t>
  </si>
  <si>
    <t>Cơ sở hiện tại</t>
  </si>
  <si>
    <t>Mức hoà vốn (giá trị hiện tại ròng 24 tháng = 0)</t>
  </si>
  <si>
    <t>Còn cách (so với hiện tại)</t>
  </si>
  <si>
    <t>Cách dùng trong bảng theo dõi Ngày 23</t>
  </si>
  <si>
    <t>Doanh thu bình quân / khách / tháng (VND)</t>
  </si>
  <si>
    <t>Dưới mức này là "nguy"</t>
  </si>
  <si>
    <t>Dưới mức này là "nguy". Ngày 22 nói 60%: đây là con số của chính mô hình</t>
  </si>
  <si>
    <t>Chi phí có một khách tối đa (VND)</t>
  </si>
  <si>
    <t>Khách mới tháng đầu tối thiểu</t>
  </si>
  <si>
    <t>Chỉ số báo sớm: số cửa hàng ký mới mỗi tháng</t>
  </si>
  <si>
    <t>Chi phí cố định tối đa / tháng (VND)</t>
  </si>
  <si>
    <t>Trần chi cho đội và văn phòng</t>
  </si>
  <si>
    <t>Tỷ lệ chia doanh thu cho đối tác tối đa</t>
  </si>
  <si>
    <t>Trần khi đàm phán với đối tác. Ngày 23 chỉ đòi biên sau chia trên 50%</t>
  </si>
  <si>
    <t>BẢNG TÍNH PHỤ CHO ĐỘ NHẠY — đã ẩn, không cần đọc</t>
  </si>
  <si>
    <t>Kịch bản</t>
  </si>
  <si>
    <t>Doanh thu bình quân</t>
  </si>
  <si>
    <t>Chi phí AI / khách</t>
  </si>
  <si>
    <t>Khách mới tháng 1</t>
  </si>
  <si>
    <t>Tăng trưởng</t>
  </si>
  <si>
    <t>Tỷ lệ rời bỏ</t>
  </si>
  <si>
    <t>Chi phí có khách</t>
  </si>
  <si>
    <t>Chi phí xây dựng</t>
  </si>
  <si>
    <t>Tiền mặt</t>
  </si>
  <si>
    <t>Lãi suất</t>
  </si>
  <si>
    <t>KB0 · Không đổi (cơ sở)</t>
  </si>
  <si>
    <t>KB1 · Doanh thu bình quân giảm</t>
  </si>
  <si>
    <t>KB2 · Chi phí AI tăng</t>
  </si>
  <si>
    <t>KB3 · Tỷ lệ rời bỏ tăng</t>
  </si>
  <si>
    <t>KB4 · Chi phí có một khách tăng</t>
  </si>
  <si>
    <t>KB5 · Khách mới tháng đầu giảm</t>
  </si>
  <si>
    <t>KB6 · Tăng trưởng khách mới giảm</t>
  </si>
  <si>
    <t>KB7 · Chi phí cố định tăng</t>
  </si>
  <si>
    <t>KB8 · Tình huống: khách dùng nhiều bỏ đi, thay bằng khách thường</t>
  </si>
  <si>
    <t>KB0 · Khách mới</t>
  </si>
  <si>
    <t>KB0 · Khách đang dùng</t>
  </si>
  <si>
    <t>KB0 · Dòng tiền ròng</t>
  </si>
  <si>
    <t>KB0 · Tiền mặt cuối kỳ</t>
  </si>
  <si>
    <t>KB0 · Dòng tiền lũy kế</t>
  </si>
  <si>
    <t>KB1 · Khách mới</t>
  </si>
  <si>
    <t>KB1 · Khách đang dùng</t>
  </si>
  <si>
    <t>KB1 · Dòng tiền ròng</t>
  </si>
  <si>
    <t>KB1 · Tiền mặt cuối kỳ</t>
  </si>
  <si>
    <t>KB1 · Dòng tiền lũy kế</t>
  </si>
  <si>
    <t>KB2 · Khách mới</t>
  </si>
  <si>
    <t>KB2 · Khách đang dùng</t>
  </si>
  <si>
    <t>KB2 · Dòng tiền ròng</t>
  </si>
  <si>
    <t>KB2 · Tiền mặt cuối kỳ</t>
  </si>
  <si>
    <t>KB2 · Dòng tiền lũy kế</t>
  </si>
  <si>
    <t>KB3 · Khách mới</t>
  </si>
  <si>
    <t>KB3 · Khách đang dùng</t>
  </si>
  <si>
    <t>KB3 · Dòng tiền ròng</t>
  </si>
  <si>
    <t>KB3 · Tiền mặt cuối kỳ</t>
  </si>
  <si>
    <t>KB3 · Dòng tiền lũy kế</t>
  </si>
  <si>
    <t>KB4 · Khách mới</t>
  </si>
  <si>
    <t>KB4 · Khách đang dùng</t>
  </si>
  <si>
    <t>KB4 · Dòng tiền ròng</t>
  </si>
  <si>
    <t>KB4 · Tiền mặt cuối kỳ</t>
  </si>
  <si>
    <t>KB4 · Dòng tiền lũy kế</t>
  </si>
  <si>
    <t>KB5 · Khách mới</t>
  </si>
  <si>
    <t>KB5 · Khách đang dùng</t>
  </si>
  <si>
    <t>KB5 · Dòng tiền ròng</t>
  </si>
  <si>
    <t>KB5 · Tiền mặt cuối kỳ</t>
  </si>
  <si>
    <t>KB5 · Dòng tiền lũy kế</t>
  </si>
  <si>
    <t>KB6 · Khách mới</t>
  </si>
  <si>
    <t>KB6 · Khách đang dùng</t>
  </si>
  <si>
    <t>KB6 · Dòng tiền ròng</t>
  </si>
  <si>
    <t>KB6 · Tiền mặt cuối kỳ</t>
  </si>
  <si>
    <t>KB6 · Dòng tiền lũy kế</t>
  </si>
  <si>
    <t>KB7 · Khách mới</t>
  </si>
  <si>
    <t>KB7 · Khách đang dùng</t>
  </si>
  <si>
    <t>KB7 · Dòng tiền ròng</t>
  </si>
  <si>
    <t>KB7 · Tiền mặt cuối kỳ</t>
  </si>
  <si>
    <t>KB7 · Dòng tiền lũy kế</t>
  </si>
  <si>
    <t>KB8 · Khách mới</t>
  </si>
  <si>
    <t>KB8 · Khách đang dùng</t>
  </si>
  <si>
    <t>KB8 · Dòng tiền ròng</t>
  </si>
  <si>
    <t>KB8 · Tiền mặt cuối kỳ</t>
  </si>
  <si>
    <t>KB8 · Dòng tiền lũy kế</t>
  </si>
  <si>
    <t>6 · Hiệu quả dự án AI dùng trong nội bộ (khi sản phẩm phục vụ chính công ty)</t>
  </si>
  <si>
    <t>Hiệu quả = (giá trị tạo ra − chi phí vận hành) so với chi phí đầu tư một lần. Không dùng thay cho trang 3–5 nếu sản phẩm bán ra thị trường.</t>
  </si>
  <si>
    <t>Lưu ý: giờ tiết kiệm chỉ thành tiền khi được dùng vào việc khác hoặc giúp giảm tuyển mới. Nếu không, chỉ ghi phần đo được ở dòng 9 và nói rõ lý do.</t>
  </si>
  <si>
    <t>Số nhân sự dùng công cụ</t>
  </si>
  <si>
    <t>người</t>
  </si>
  <si>
    <t>Giả định minh hoạ: 1 phòng ban 30 người</t>
  </si>
  <si>
    <t>Số người sẽ dùng công cụ. Bản mẫu: 30 (1 phòng ban).</t>
  </si>
  <si>
    <t>Giờ tiết kiệm / người / tuần (chỉ tính giờ được dùng vào việc khác hoặc giúp giảm tuyển)</t>
  </si>
  <si>
    <t>giờ</t>
  </si>
  <si>
    <t>Đo bằng pilot, không ước đoán</t>
  </si>
  <si>
    <t>Chỉ tính giờ được dùng vào việc khác hoặc giúp giảm tuyển. Đo bằng thử nghiệm. Bản mẫu: 5 / 3 / 1,5.</t>
  </si>
  <si>
    <t>Tỷ lệ người dùng thật</t>
  </si>
  <si>
    <t>Người dùng đều đặn / tổng số</t>
  </si>
  <si>
    <t>Người dùng đều đặn ÷ tổng số người. Bản mẫu: 80% / 60% / 35%.</t>
  </si>
  <si>
    <t>Chi phí 1 giờ công (gồm phúc lợi)</t>
  </si>
  <si>
    <t>Giả định minh hoạ: lương + bảo hiểm + phúc lợi nhân viên văn phòng</t>
  </si>
  <si>
    <t>Lương + bảo hiểm + phúc lợi ÷ số giờ làm. Bản mẫu: 120.000.</t>
  </si>
  <si>
    <t>Giá trị khác / tháng (doanh thu tăng, giảm lỗi…)</t>
  </si>
  <si>
    <t>Chỉ đưa vào nếu đo được</t>
  </si>
  <si>
    <t>Chỉ đưa vào nếu đo được. Bản mẫu: 10 / 5 / 0 triệu.</t>
  </si>
  <si>
    <t>Chi phí xây dựng một lần</t>
  </si>
  <si>
    <t>VND (một lần)</t>
  </si>
  <si>
    <t>Giả định minh hoạ: báo giá xây dựng</t>
  </si>
  <si>
    <t>Bản mẫu: 400 / 400 / 500 triệu.</t>
  </si>
  <si>
    <t>Chi phí thay đổi quy trình &amp; đào tạo (một lần)</t>
  </si>
  <si>
    <t>Chi phí thay đổi quy trình hay bị quên</t>
  </si>
  <si>
    <t>Khoản hay bị quên. Bản mẫu: 50 / 60 / 80 triệu.</t>
  </si>
  <si>
    <t>Chi phí vận hành / tháng (API, hạ tầng, bảo trì)</t>
  </si>
  <si>
    <t>Giả định minh hoạ: gọi AI + hạ tầng + bảo trì</t>
  </si>
  <si>
    <t>Gọi AI + hạ tầng + bảo trì. Bản mẫu: 15 / 18 / 25 triệu.</t>
  </si>
  <si>
    <t>Giả định của lớp: chi phí vốn</t>
  </si>
  <si>
    <t>Kết quả</t>
  </si>
  <si>
    <t>Giá trị tạo ra / tháng</t>
  </si>
  <si>
    <t>Lợi ích ròng / tháng</t>
  </si>
  <si>
    <t>Đầu tư một lần</t>
  </si>
  <si>
    <t>Thời gian hoàn vốn</t>
  </si>
  <si>
    <t>Hiệu quả đầu tư sau 12 tháng (ROI)</t>
  </si>
  <si>
    <t>Giá trị hiện tại ròng 24 tháng</t>
  </si>
  <si>
    <t>Đánh giá nhanh</t>
  </si>
  <si>
    <t>Hoàn vốn dưới 12 tháng: Làm · hoàn vốn được nhưng chậm: thử ở 1 phòng ban để đo tỷ lệ người dùng thật · không hoàn vốn: Dừng</t>
  </si>
  <si>
    <t>7 · Tự kiểm tra và ghi chú quyết định</t>
  </si>
  <si>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</si>
  <si>
    <t>Điểm kiểm tra</t>
  </si>
  <si>
    <t>Kết quả (cơ sở)</t>
  </si>
  <si>
    <t>Đạt?</t>
  </si>
  <si>
    <t>Phần chìm ≥ 30% chi phí gọi AI</t>
  </si>
  <si>
    <t>Biên lợi nhuận gộp bình quân ≥ 60% (gói kết hợp)</t>
  </si>
  <si>
    <t>LTV ÷ CAC &gt; 3 (cơ sở)</t>
  </si>
  <si>
    <t>Hoàn vốn chi phí có khách &lt; 12 tháng (cơ sở)</t>
  </si>
  <si>
    <t>Kịch bản xấu: rời bỏ và chi phí có khách đủ sốc (≥ 1,5 lần)</t>
  </si>
  <si>
    <t>Kịch bản xấu: tháng hết tiền</t>
  </si>
  <si>
    <t>Giá trị hiện tại ròng 24 tháng (cơ sở)</t>
  </si>
  <si>
    <t>Biến nguy hiểm nhất (bảng độ nhạy, trang 5)</t>
  </si>
  <si>
    <t>GHI CHÚ QUYẾT ĐỊNH: 5 câu, mỗi câu 1–3 câu văn, cả phần khoảng 200 chữ. Nhóm viết vào ô vàng dưới mỗi câu hỏi.</t>
  </si>
  <si>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</si>
  <si>
    <t>Thử nghiệm nhỏ 3 tháng với 30 cửa hàng: kịch bản cơ sở đạt LTV ÷ CAC và thời gian hoàn vốn, nhưng kịch bản xấu hết tiền ở tháng 10.</t>
  </si>
  <si>
    <t>2. Giá bán và cách tính tiền đã chọn — vì sao khách chấp nhận mức đó?</t>
  </si>
  <si>
    <t>Gói kết hợp 499 nghìn/tháng gồm 300 hội thoại, vượt thì 1.500 đ/hội thoại (≥ giá sàn 1.240 đ); neo theo lương ca trực bán thời gian 4–5 triệu/tháng.</t>
  </si>
  <si>
    <t>3. Biến số nguy hiểm nhất (theo bảng độ nhạy ở trang 5) và cách theo dõi.</t>
  </si>
  <si>
    <t>Doanh thu bình quân: giảm 20% là giá trị hiện tại ròng âm (lợi nhuận gộp giảm khoảng 27%). Doanh thu lại dễ giảm vì 62% đến từ 15% khách dùng nhiều. Theo dõi hằng tuần số cửa hàng vượt hạn mức và tỷ lệ chịu trả phí vượt.</t>
  </si>
  <si>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</si>
  <si>
    <t>NẾU doanh thu bình quân dưới 951 nghìn/cửa hàng, TRONG 2 tháng liên tiếp và trên ít nhất 20 cửa hàng, THÌ dừng mở rộng, thiết kế lại gói giá. KHÔNG THÌ không giảm giá gói cơ bản để kéo thêm khách.</t>
  </si>
  <si>
    <t>5. Mức cảnh báo tự tính (trang 5, dòng 72–77) đã điền vào bảng theo dõi Ngày 23 thế nào? Chưa có bảng Ngày 23: chép các mức đó, ghi mức nào là "nguy", mức nào "đáng lo", và ai theo dõi hằng tuần.</t>
  </si>
  <si>
    <t>Doanh thu bình quân dưới 951 nghìn: nguy. Chi phí có một khách trên 2,64 triệu: nguy (LTV ÷ CAC dưới 6,2, không phải 3). Khách mới dưới 23/tháng: đáng lo. Chia cho đối tác tối đa 14%.</t>
  </si>
  <si>
    <t>8 · Thang điểm (100 điểm)</t>
  </si>
  <si>
    <t>Trừ điểm: số bịa không có nguồn, chỉ 1 kịch bản, nhầm doanh thu với lợi nhuận.</t>
  </si>
  <si>
    <t>Tiêu chí</t>
  </si>
  <si>
    <t>Điểm</t>
  </si>
  <si>
    <t>Bài đạt khi</t>
  </si>
  <si>
    <t>Điểm (giảng viên chấm, nhóm không điền)</t>
  </si>
  <si>
    <t>Bài tập tài chính căn bản</t>
  </si>
  <si>
    <t>Ba báo cáo đúng và khớp: bảng cân đối cân, tiền cuối kỳ khớp, trả lời đúng câu 1–3</t>
  </si>
  <si>
    <t>Chi phí mỗi việc đầy đủ</t>
  </si>
  <si>
    <t>≥ 4 nhóm chi phí; chỉ gồm chi phí phục vụ (không lẫn R&amp;D, bán hàng); có tên mô hình và ngày tra giá</t>
  </si>
  <si>
    <t>Giá sống được trong mô hình</t>
  </si>
  <si>
    <t>Giá lấy từ bài Ngày 22 và qua ba phép thử: neo lương 50–70%, tiền AI của khách dùng nhiều, biên sau chia đối tác</t>
  </si>
  <si>
    <t>Chỉ số trên mỗi khách</t>
  </si>
  <si>
    <t>Công thức đúng; LTV tính trên lợi nhuận gộp; tỷ lệ rời bỏ và chi phí có khách có nguồn hoặc lý do rõ</t>
  </si>
  <si>
    <t>3 kịch bản và độ nhạy</t>
  </si>
  <si>
    <t>Kịch bản xấu là cú sốc thật; đọc bảng độ nhạy và chỉ ra biến số nguy hiểm nhất</t>
  </si>
  <si>
    <t>Ghi chú quyết định và mức cảnh báo</t>
  </si>
  <si>
    <t>Quyết định rõ, bảo vệ bằng số; luật xử lý theo khuôn Ngày 23; mức cảnh báo tự tính đưa vào bảng Ngày 23</t>
  </si>
  <si>
    <t>TỔNG</t>
  </si>
  <si>
    <t>Điểm thưởng: dùng số thật từ buổi trước (trang 0)</t>
  </si>
  <si>
    <t>tối đa 10</t>
  </si>
  <si>
    <t>2 điểm/đầu vào đã có và thật sự được dùng; tổng điểm không quá 100</t>
  </si>
  <si>
    <t>THANG ĐIỂM TRÌNH BÀY (1–5 điểm mỗi tiêu chí)</t>
  </si>
  <si>
    <t>Mức 1</t>
  </si>
  <si>
    <t>Mức 3</t>
  </si>
  <si>
    <t>Mức 5</t>
  </si>
  <si>
    <t>Rõ ràng</t>
  </si>
  <si>
    <t>Câu đầu chưa có quyết định; người nghe phải đoán nhóm đề xuất gì</t>
  </si>
  <si>
    <t>Có quyết định nhưng nói sau phần mở đầu, hoặc thiếu giá bán</t>
  </si>
  <si>
    <t>Câu đầu tiên có quyết định, giá bán và 1 lý do</t>
  </si>
  <si>
    <t>Bằng chứng</t>
  </si>
  <si>
    <t>Con số không có nguồn, hoặc chỉ có kịch bản cơ sở</t>
  </si>
  <si>
    <t>Có số chính và nguồn, nhưng thiếu kịch bản xấu hoặc biến nguy hiểm nhất</t>
  </si>
  <si>
    <t>Đủ chi phí mỗi việc, biên lợi nhuận, LTV ÷ CAC, kịch bản xấu; số nào cũng có nguồn hoặc lý do</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</si>
  <si>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</si>
  <si>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</si>
  <si>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</si>
  <si>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</si>
  <si>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</si>
  <si>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</si>
  <si>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</si>
  <si>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</si>
  <si>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Điểm buổi = 60% sản phẩm + 40% trình bày (60% giảng viên + 40% các nhóm khác chấm, không tự chấm nhóm mình).</t>
  </si>
  <si>
    <t>9 · Số tham khảo đã kiểm chứng (tra ngày 04/10/2026)</t>
  </si>
  <si>
    <t>Giá thay đổi thường xuyên: trước khi dùng, mở lại đường dẫn và ghi ngày tra của nhóm. Số nào không có trong bảng, nhóm tự tìm nguồn hoặc ghi lý do.</t>
  </si>
  <si>
    <t>Mô hình AI</t>
  </si>
  <si>
    <t>Đầu vào (USD / 1 triệu token)</t>
  </si>
  <si>
    <t>Đầu ra (USD / 1 triệu token)</t>
  </si>
  <si>
    <t>Nguồn chính thức</t>
  </si>
  <si>
    <t>OpenAI GPT-6 Luna</t>
  </si>
  <si>
    <t>https://developers.openai.com/api/docs/pricing</t>
  </si>
  <si>
    <t>Mức Standard, ngữ cảnh ngắn</t>
  </si>
  <si>
    <t>OpenAI GPT-6 Sol</t>
  </si>
  <si>
    <t>https://openai.com/index/introducing-gpt-6-sol-and-luna/</t>
  </si>
  <si>
    <t>Mức Standard</t>
  </si>
  <si>
    <t>Anthropic Claude Haiku 4.5</t>
  </si>
  <si>
    <t>https://platform.claude.com/docs/en/models/haiku-4-5/overview</t>
  </si>
  <si>
    <t>Anthropic Claude Sonnet 5.5</t>
  </si>
  <si>
    <t>Bảng so sánh trên cùng trang</t>
  </si>
  <si>
    <t>Số liệu Việt Nam</t>
  </si>
  <si>
    <t>Nguồn</t>
  </si>
  <si>
    <t>Tỷ giá USD bán ra Vietcombank</t>
  </si>
  <si>
    <t>https://thanhnien.vn/gia-usd-hom-nay-4102026-bien-dong-nhe-trong-tuan-khi-euro-bang-anh-tiep-tuc-giam-185261003210750485.htm</t>
  </si>
  <si>
    <t>Báo chí đưa tin sáng 04/10/2026; đối chiếu trang Vietcombank khi dùng</t>
  </si>
  <si>
    <t>Tỷ giá trung tâm Ngân hàng Nhà nước</t>
  </si>
  <si>
    <t>https://qdnd.vn/kinh-te/tin-tuc/ty-gia-usd-hom-nay-4-10-dong-usd-tang-tuan-thu-ba-lien-tiep-1059250</t>
  </si>
  <si>
    <t>Báo QĐND đưa tin ngày 04/10/2026</t>
  </si>
  <si>
    <t>Lương tối thiểu tháng, vùng I (Hà Nội, TP.HCM)</t>
  </si>
  <si>
    <t>https://xaydungchinhsach.chinhphu.vn/tu-1-1-2026-muc-luong-toi-thieu-duoc-tang-bao-nhieu-119251111091442629.htm</t>
  </si>
  <si>
    <t>Nghị định 293/2025/NĐ-CP, hiệu lực 01/01/2026</t>
  </si>
  <si>
    <t>Lương tối thiểu giờ, vùng I</t>
  </si>
  <si>
    <t>Nghị định 293/2025/NĐ-CP; là mức sàn, chưa gồm bảo hiểm</t>
  </si>
  <si>
    <t>Số KHÔNG có trong bảng</t>
  </si>
  <si>
    <t>Cách xử lý</t>
  </si>
  <si>
    <t>Tỷ lệ rời bỏ, chi phí có một khách của SME Việt Nam</t>
  </si>
  <si>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</si>
  <si>
    <t>LTV ÷ CAC &gt; 3, hoàn vốn chi phí có khách &lt; 12 tháng</t>
  </si>
  <si>
    <t>Ngưỡng tham khảo phổ biến trong ngành phần mềm thuê bao; lớp chưa kiểm chứng nguồn sơ cấp. Dùng để đọc kết quả, không phải luật.</t>
  </si>
  <si>
    <t>Giá sàn gấp 3 lần chi phí mỗi việc; phần chìm ≥ 30% chi phí gọi AI</t>
  </si>
  <si>
    <t>Kinh nghiệm của giảng viên, không phải chuẩn ngành.</t>
  </si>
  <si>
    <t>Ngưỡng nghe ở Ngày 22–23</t>
  </si>
  <si>
    <t>Cách dùng hôm nay</t>
  </si>
  <si>
    <t>Biên lợi nhuận gộp ≥ 60%, dưới 50% là nguy (Ngày 22, slide 8)</t>
  </si>
  <si>
    <t>Diễn giả nêu, không kèm nguồn. Ngày 23 (slide 34) dẫn số thực đo của công ty AI chỉ 45–53% — chưa kiểm chứng. Dùng mức tối thiểu tự tính ở trang 5.</t>
  </si>
  <si>
    <t>Neo giá ở 50–70% lương người được thay (Ngày 22, slide 9)</t>
  </si>
  <si>
    <t>Kinh nghiệm diễn giả. Dùng làm phép thử ở trang 2, không phải luật.</t>
  </si>
  <si>
    <t>Ranh giới bán tự phục vụ dưới 50 USD, bán trực tiếp trên 1.000 USD mỗi tháng (Ngày 22, slide 17–18)</t>
  </si>
  <si>
    <t>Ngưỡng của thị trường Mỹ. Ranh giới của nhóm là chi phí có một khách tối đa tự tính ở trang 5.</t>
  </si>
  <si>
    <t>GitHub Copilot thu 10 USD, chi 80 USD, lỗ 70 USD mỗi người (Ngày 22, slide 3)</t>
  </si>
  <si>
    <t>WSJ 10/2023 đưa tin lỗ trung bình khoảng 20 USD/người/tháng; 80 USD là mức của một số người dùng nặng. Theo bản tóm tắt của AI Business, chưa đọc bài gốc WSJ.</t>
  </si>
  <si>
    <t>Nhãn nguồn [NGÀNH] · [TỰ TÍNH] · [TỰ ĐO] (Ngày 23, slide 11)</t>
  </si>
  <si>
    <t>Dùng ba nhãn này trong cột "Nguồn / lý do". Số chưa có nguồn, chưa đo: ghi "Giả định: … vì …", không gắn [NGÀNH].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</si>
</sst>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Red]\-#,##0"/>
    <numFmt numFmtId="165" formatCode="#,##0.0;[Red]\-#,##0.0"/>
    <numFmt numFmtId="166" formatCode="#,##0.##"/>
    <numFmt numFmtId="167" formatCode="0.0%"/>
    <numFmt numFmtId="168" formatCode="0.0&quot; tháng&quot;"/>
    <numFmt numFmtId="169" formatCode="0.00\x"/>
    <numFmt numFmtId="170" formatCode="#,##0.0"/>
    <numFmt numFmtId="171" formatCode="&quot;Tháng &quot;0"/>
  </numFmts>
  <fonts count="13" x14ac:knownFonts="1">
    <font>
      <sz val="11"/>
      <color theme="1"/>
      <name val="Calibri"/>
      <family val="2"/>
      <charset val="1"/>
    </font>
    <font>
      <b/>
      <sz val="14"/>
      <name val="Cambria"/>
      <charset val="1"/>
    </font>
    <font>
      <i/>
      <sz val="11"/>
      <color rgb="FF595959"/>
      <name val="Cambria"/>
      <charset val="1"/>
    </font>
    <font>
      <b/>
      <sz val="11"/>
      <name val="Cambria"/>
      <charset val="1"/>
    </font>
    <font>
      <i/>
      <sz val="11"/>
      <color rgb="FF595959"/>
      <name val="Calibri"/>
      <charset val="1"/>
    </font>
    <font>
      <b/>
      <sz val="11"/>
      <color rgb="FFFFFFFF"/>
      <name val="Cambria"/>
      <charset val="1"/>
    </font>
    <font>
      <i/>
      <sz val="10"/>
      <color rgb="FF595959"/>
      <name val="Calibri"/>
      <charset val="1"/>
    </font>
    <font>
      <sz val="11"/>
      <name val="Calibri"/>
      <charset val="1"/>
    </font>
    <font>
      <b/>
      <sz val="11"/>
      <name val="Calibri"/>
      <charset val="1"/>
    </font>
    <font>
      <b/>
      <sz val="11"/>
      <color rgb="FFC00000"/>
      <name val="Calibri"/>
      <charset val="1"/>
    </font>
    <font>
      <b/>
      <sz val="12"/>
      <name val="Cambria"/>
      <charset val="1"/>
    </font>
    <font>
      <b/>
      <sz val="11"/>
      <color rgb="FFC00000"/>
      <name val="Cambria"/>
      <charset val="1"/>
    </font>
    <font>
      <sz val="10"/>
      <color rgb="FF808080"/>
      <name val="Calibri"/>
      <charset val="1"/>
    </font>
  </fonts>
  <fills count="6">
    <fill>
      <patternFill patternType="none"/>
    </fill>
    <fill>
      <patternFill patternType="gray125"/>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
      <patternFill patternType="solid">
        <fgColor rgb="FFD9E1F2"/>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3">
    <xf numFmtId="0" fontId="0" fillId="0" borderId="0" xfId="0"/>
    <xf numFmtId="0" fontId="7" fillId="0" borderId="0" xfId="0" applyFont="1" applyAlignment="1">
      <alignment vertical="top" wrapText="1"/>
    </xf>
    <xf numFmtId="0" fontId="0" fillId="2" borderId="0" xfId="0" applyFill="1" applyAlignment="1" applyProtection="1">
      <alignment wrapText="1"/>
      <protection locked="0"/>
    </xf>
    <xf numFmtId="0" fontId="10" fillId="0" borderId="0" xfId="0" applyFont="1" applyAlignment="1">
      <alignment vertical="top" wrapText="1"/>
    </xf>
    <xf numFmtId="0" fontId="2" fillId="0" borderId="0" xfId="0" applyFont="1" applyAlignment="1">
      <alignment vertical="top" wrapText="1"/>
    </xf>
    <xf numFmtId="0" fontId="7" fillId="3" borderId="1" xfId="0" applyFont="1" applyFill="1" applyBorder="1"/>
    <xf numFmtId="0" fontId="7" fillId="0" borderId="1" xfId="0" applyFont="1" applyBorder="1"/>
    <xf numFmtId="0" fontId="5" fillId="4" borderId="0" xfId="0" applyFont="1" applyFill="1" applyAlignment="1">
      <alignment vertical="center" wrapText="1"/>
    </xf>
    <xf numFmtId="0" fontId="9" fillId="0" borderId="0" xfId="0" applyFont="1" applyAlignment="1">
      <alignment vertical="top" wrapText="1"/>
    </xf>
    <xf numFmtId="0" fontId="7" fillId="2" borderId="1" xfId="0" applyFont="1" applyFill="1" applyBorder="1" applyAlignment="1" applyProtection="1">
      <alignment vertical="top" wrapText="1"/>
      <protection locked="0"/>
    </xf>
    <xf numFmtId="0" fontId="3" fillId="0" borderId="0" xfId="0" applyFont="1" applyAlignment="1">
      <alignment vertical="top" wrapText="1"/>
    </xf>
    <xf numFmtId="0" fontId="6" fillId="0" borderId="0" xfId="0" applyFont="1" applyAlignment="1">
      <alignment vertical="top" wrapText="1"/>
    </xf>
    <xf numFmtId="0" fontId="1" fillId="0" borderId="0" xfId="0" applyFont="1"/>
    <xf numFmtId="0" fontId="2" fillId="0" borderId="0" xfId="0" applyFont="1" applyAlignment="1">
      <alignment vertical="top" wrapText="1"/>
    </xf>
    <xf numFmtId="0" fontId="0" fillId="0" borderId="0" xfId="0" applyAlignment="1">
      <alignment vertical="top" wrapText="1"/>
    </xf>
    <xf numFmtId="0" fontId="3" fillId="0" borderId="0" xfId="0" applyFont="1"/>
    <xf numFmtId="0" fontId="0" fillId="2" borderId="0" xfId="0" applyFill="1"/>
    <xf numFmtId="0" fontId="0" fillId="3" borderId="0" xfId="0" applyFill="1"/>
    <xf numFmtId="0" fontId="4" fillId="0" borderId="0" xfId="0" applyFont="1" applyAlignment="1">
      <alignment vertical="top" wrapText="1"/>
    </xf>
    <xf numFmtId="0" fontId="2" fillId="0" borderId="0" xfId="0" applyFont="1"/>
    <xf numFmtId="0" fontId="5" fillId="4" borderId="0" xfId="0" applyFont="1" applyFill="1" applyAlignment="1">
      <alignment wrapText="1"/>
    </xf>
    <xf numFmtId="0" fontId="0" fillId="0" borderId="1" xfId="0" applyBorder="1" applyAlignment="1">
      <alignment vertical="top" wrapText="1"/>
    </xf>
    <xf numFmtId="0" fontId="0" fillId="2" borderId="1" xfId="0" applyFill="1" applyBorder="1" applyAlignment="1" applyProtection="1">
      <alignment vertical="top" wrapText="1"/>
      <protection locked="0"/>
    </xf>
    <xf numFmtId="0" fontId="6" fillId="0" borderId="0" xfId="0" applyFont="1" applyAlignment="1">
      <alignment vertical="top" wrapText="1"/>
    </xf>
    <xf numFmtId="0" fontId="5" fillId="4" borderId="0" xfId="0" applyFont="1" applyFill="1" applyAlignment="1">
      <alignment vertical="center" wrapText="1"/>
    </xf>
    <xf numFmtId="0" fontId="7" fillId="0" borderId="1" xfId="0" applyFont="1" applyBorder="1" applyAlignment="1">
      <alignment horizontal="center" vertical="center"/>
    </xf>
    <xf numFmtId="0" fontId="7" fillId="0" borderId="1" xfId="0" applyFont="1" applyBorder="1" applyAlignment="1">
      <alignment vertical="center"/>
    </xf>
    <xf numFmtId="164" fontId="7" fillId="0" borderId="1" xfId="0" applyNumberFormat="1" applyFont="1" applyBorder="1" applyAlignment="1">
      <alignment vertical="center"/>
    </xf>
    <xf numFmtId="0" fontId="7" fillId="0" borderId="1" xfId="0" applyFont="1" applyBorder="1" applyAlignment="1">
      <alignment vertical="center" wrapText="1"/>
    </xf>
    <xf numFmtId="0" fontId="7" fillId="2" borderId="1" xfId="0" applyFont="1" applyFill="1" applyBorder="1" applyAlignment="1" applyProtection="1">
      <alignment vertical="center" wrapText="1"/>
      <protection locked="0"/>
    </xf>
    <xf numFmtId="0" fontId="3" fillId="0" borderId="0" xfId="0" applyFont="1" applyAlignment="1">
      <alignment vertical="top" wrapText="1"/>
    </xf>
    <xf numFmtId="0" fontId="7" fillId="0" borderId="1" xfId="0" applyFont="1" applyBorder="1"/>
    <xf numFmtId="164" fontId="7" fillId="2" borderId="1" xfId="0" applyNumberFormat="1" applyFont="1" applyFill="1" applyBorder="1" applyProtection="1">
      <protection locked="0"/>
    </xf>
    <xf numFmtId="164" fontId="7" fillId="3" borderId="1" xfId="0" applyNumberFormat="1" applyFont="1" applyFill="1" applyBorder="1"/>
    <xf numFmtId="0" fontId="8" fillId="0" borderId="1" xfId="0" applyFont="1" applyBorder="1"/>
    <xf numFmtId="164" fontId="8" fillId="3" borderId="1" xfId="0" applyNumberFormat="1" applyFont="1" applyFill="1" applyBorder="1"/>
    <xf numFmtId="0" fontId="7" fillId="3" borderId="1" xfId="0" applyFont="1" applyFill="1" applyBorder="1"/>
    <xf numFmtId="9" fontId="7" fillId="3" borderId="1" xfId="0" applyNumberFormat="1" applyFont="1" applyFill="1" applyBorder="1"/>
    <xf numFmtId="0" fontId="8" fillId="0" borderId="1" xfId="0" applyFont="1" applyBorder="1" applyAlignment="1">
      <alignment vertical="top" wrapText="1"/>
    </xf>
    <xf numFmtId="0" fontId="8" fillId="3" borderId="1" xfId="0" applyFont="1" applyFill="1" applyBorder="1" applyAlignment="1">
      <alignment vertical="top" wrapText="1"/>
    </xf>
    <xf numFmtId="0" fontId="8" fillId="3" borderId="1" xfId="0" applyFont="1" applyFill="1" applyBorder="1"/>
    <xf numFmtId="0" fontId="7" fillId="0" borderId="1" xfId="0" applyFont="1" applyBorder="1" applyAlignment="1">
      <alignment vertical="top" wrapText="1"/>
    </xf>
    <xf numFmtId="164" fontId="7" fillId="0" borderId="1" xfId="0" applyNumberFormat="1" applyFont="1" applyBorder="1"/>
    <xf numFmtId="9" fontId="7" fillId="0" borderId="1" xfId="0" applyNumberFormat="1" applyFont="1" applyBorder="1"/>
    <xf numFmtId="165" fontId="7" fillId="2" borderId="1" xfId="0" applyNumberFormat="1" applyFont="1" applyFill="1" applyBorder="1" applyProtection="1">
      <protection locked="0"/>
    </xf>
    <xf numFmtId="0" fontId="7" fillId="2" borderId="1" xfId="0" applyFont="1" applyFill="1" applyBorder="1" applyProtection="1">
      <protection locked="0"/>
    </xf>
    <xf numFmtId="0" fontId="0" fillId="0" borderId="1" xfId="0" applyBorder="1" applyAlignment="1">
      <alignment vertical="center"/>
    </xf>
    <xf numFmtId="0" fontId="0" fillId="2" borderId="0" xfId="0" applyFill="1" applyAlignment="1" applyProtection="1">
      <alignment vertical="center"/>
      <protection locked="0"/>
    </xf>
    <xf numFmtId="0" fontId="0" fillId="0" borderId="0" xfId="0" applyAlignment="1">
      <alignment vertical="center"/>
    </xf>
    <xf numFmtId="0" fontId="0" fillId="2" borderId="0" xfId="0" applyFill="1" applyAlignment="1" applyProtection="1">
      <alignment vertical="center" wrapText="1"/>
      <protection locked="0"/>
    </xf>
    <xf numFmtId="0" fontId="6" fillId="0" borderId="0" xfId="0" applyFont="1" applyAlignment="1">
      <alignment vertical="center" wrapText="1"/>
    </xf>
    <xf numFmtId="166" fontId="0" fillId="2" borderId="1" xfId="0" applyNumberFormat="1" applyFill="1" applyBorder="1" applyAlignment="1" applyProtection="1">
      <alignment vertical="center"/>
      <protection locked="0"/>
    </xf>
    <xf numFmtId="167" fontId="0" fillId="2" borderId="1" xfId="0" applyNumberFormat="1" applyFill="1" applyBorder="1" applyAlignment="1" applyProtection="1">
      <alignment vertical="center"/>
      <protection locked="0"/>
    </xf>
    <xf numFmtId="0" fontId="0" fillId="0" borderId="1" xfId="0" applyBorder="1"/>
    <xf numFmtId="164" fontId="0" fillId="3" borderId="1" xfId="0" applyNumberFormat="1" applyFill="1" applyBorder="1"/>
    <xf numFmtId="164" fontId="3" fillId="3" borderId="1" xfId="0" applyNumberFormat="1" applyFont="1" applyFill="1" applyBorder="1"/>
    <xf numFmtId="167" fontId="0" fillId="3" borderId="1" xfId="0" applyNumberFormat="1" applyFill="1" applyBorder="1"/>
    <xf numFmtId="0" fontId="6" fillId="0" borderId="0" xfId="0" applyFont="1"/>
    <xf numFmtId="0" fontId="0" fillId="2" borderId="0" xfId="0" applyFill="1" applyAlignment="1" applyProtection="1">
      <alignment vertical="top" wrapText="1"/>
      <protection locked="0"/>
    </xf>
    <xf numFmtId="0" fontId="7" fillId="2" borderId="0" xfId="0" applyFont="1" applyFill="1" applyAlignment="1" applyProtection="1">
      <alignment vertical="top" wrapText="1"/>
      <protection locked="0"/>
    </xf>
    <xf numFmtId="0" fontId="7" fillId="2" borderId="0" xfId="0" applyFont="1" applyFill="1" applyProtection="1">
      <protection locked="0"/>
    </xf>
    <xf numFmtId="164" fontId="0" fillId="2" borderId="1" xfId="0" applyNumberFormat="1" applyFill="1" applyBorder="1" applyProtection="1">
      <protection locked="0"/>
    </xf>
    <xf numFmtId="0" fontId="5" fillId="4" borderId="0" xfId="0" applyFont="1" applyFill="1" applyAlignment="1">
      <alignment vertical="top" wrapText="1"/>
    </xf>
    <xf numFmtId="167" fontId="0" fillId="2" borderId="1" xfId="0" applyNumberFormat="1" applyFill="1" applyBorder="1" applyProtection="1">
      <protection locked="0"/>
    </xf>
    <xf numFmtId="3" fontId="0" fillId="2" borderId="1" xfId="0" applyNumberFormat="1" applyFill="1" applyBorder="1" applyProtection="1">
      <protection locked="0"/>
    </xf>
    <xf numFmtId="3" fontId="0" fillId="3" borderId="1" xfId="0" applyNumberFormat="1" applyFill="1" applyBorder="1"/>
    <xf numFmtId="167" fontId="3" fillId="3" borderId="1" xfId="0" applyNumberFormat="1" applyFont="1" applyFill="1" applyBorder="1"/>
    <xf numFmtId="0" fontId="0" fillId="3" borderId="1" xfId="0" applyFill="1" applyBorder="1"/>
    <xf numFmtId="9" fontId="7" fillId="2" borderId="1" xfId="0" applyNumberFormat="1" applyFont="1" applyFill="1" applyBorder="1" applyProtection="1">
      <protection locked="0"/>
    </xf>
    <xf numFmtId="0" fontId="7" fillId="3" borderId="1" xfId="0" applyFont="1" applyFill="1" applyBorder="1" applyAlignment="1">
      <alignment vertical="top" wrapText="1"/>
    </xf>
    <xf numFmtId="2" fontId="7" fillId="3" borderId="1" xfId="0" applyNumberFormat="1" applyFont="1" applyFill="1" applyBorder="1"/>
    <xf numFmtId="167" fontId="8" fillId="3" borderId="1" xfId="0" applyNumberFormat="1" applyFont="1" applyFill="1" applyBorder="1"/>
    <xf numFmtId="0" fontId="0" fillId="0" borderId="1" xfId="0" applyBorder="1" applyAlignment="1">
      <alignment vertical="center" wrapText="1"/>
    </xf>
    <xf numFmtId="2" fontId="0" fillId="2" borderId="1" xfId="0" applyNumberFormat="1" applyFill="1" applyBorder="1" applyAlignment="1" applyProtection="1">
      <alignment vertical="center"/>
      <protection locked="0"/>
    </xf>
    <xf numFmtId="0" fontId="7" fillId="2" borderId="0" xfId="0" applyFont="1" applyFill="1" applyAlignment="1" applyProtection="1">
      <alignment vertical="center" wrapText="1"/>
      <protection locked="0"/>
    </xf>
    <xf numFmtId="3" fontId="0" fillId="2" borderId="1" xfId="0" applyNumberFormat="1" applyFill="1" applyBorder="1" applyAlignment="1" applyProtection="1">
      <alignment vertical="center"/>
      <protection locked="0"/>
    </xf>
    <xf numFmtId="164" fontId="0" fillId="2" borderId="1" xfId="0" applyNumberFormat="1" applyFill="1" applyBorder="1" applyAlignment="1" applyProtection="1">
      <alignment vertical="center"/>
      <protection locked="0"/>
    </xf>
    <xf numFmtId="0" fontId="7" fillId="2" borderId="0" xfId="0" applyFont="1" applyFill="1" applyAlignment="1" applyProtection="1">
      <alignment vertical="center"/>
      <protection locked="0"/>
    </xf>
    <xf numFmtId="168" fontId="0" fillId="3" borderId="1" xfId="0" applyNumberFormat="1" applyFill="1" applyBorder="1"/>
    <xf numFmtId="169" fontId="3" fillId="3" borderId="1" xfId="0" applyNumberFormat="1" applyFont="1" applyFill="1" applyBorder="1"/>
    <xf numFmtId="0" fontId="3" fillId="3" borderId="1" xfId="0" applyFont="1" applyFill="1" applyBorder="1"/>
    <xf numFmtId="0" fontId="3" fillId="5" borderId="0" xfId="0" applyFont="1" applyFill="1"/>
    <xf numFmtId="170" fontId="0" fillId="0" borderId="0" xfId="0" applyNumberFormat="1"/>
    <xf numFmtId="164" fontId="0" fillId="0" borderId="0" xfId="0" applyNumberFormat="1"/>
    <xf numFmtId="0" fontId="10" fillId="0" borderId="0" xfId="0" applyFont="1"/>
    <xf numFmtId="171" fontId="0" fillId="3" borderId="1" xfId="0" applyNumberFormat="1" applyFill="1" applyBorder="1"/>
    <xf numFmtId="0" fontId="7" fillId="0" borderId="0" xfId="0" applyFont="1"/>
    <xf numFmtId="9" fontId="7" fillId="2" borderId="0" xfId="0" applyNumberFormat="1" applyFont="1" applyFill="1" applyProtection="1">
      <protection locked="0"/>
    </xf>
    <xf numFmtId="0" fontId="5" fillId="4" borderId="0" xfId="0" applyFont="1" applyFill="1" applyAlignment="1">
      <alignment horizontal="left" vertical="center" wrapText="1"/>
    </xf>
    <xf numFmtId="0" fontId="5" fillId="4" borderId="0" xfId="0" applyFont="1" applyFill="1" applyAlignment="1">
      <alignment horizontal="center" vertical="center" wrapText="1"/>
    </xf>
    <xf numFmtId="0" fontId="7" fillId="0" borderId="0" xfId="0" applyFont="1" applyAlignment="1">
      <alignment horizontal="center"/>
    </xf>
    <xf numFmtId="164" fontId="7" fillId="3" borderId="0" xfId="0" applyNumberFormat="1" applyFont="1" applyFill="1"/>
    <xf numFmtId="171" fontId="7" fillId="3" borderId="0" xfId="0" applyNumberFormat="1" applyFont="1" applyFill="1" applyAlignment="1">
      <alignment vertical="center" wrapText="1"/>
    </xf>
    <xf numFmtId="1" fontId="7" fillId="3" borderId="0" xfId="0" applyNumberFormat="1" applyFont="1" applyFill="1" applyAlignment="1">
      <alignment horizontal="center"/>
    </xf>
    <xf numFmtId="167" fontId="7" fillId="3" borderId="0" xfId="0" applyNumberFormat="1" applyFont="1" applyFill="1"/>
    <xf numFmtId="170" fontId="7" fillId="3" borderId="0" xfId="0" applyNumberFormat="1" applyFont="1" applyFill="1"/>
    <xf numFmtId="0" fontId="11" fillId="3" borderId="0" xfId="0" applyFont="1" applyFill="1"/>
    <xf numFmtId="0" fontId="3" fillId="0" borderId="0" xfId="0" applyFont="1" applyAlignment="1">
      <alignment vertical="center" wrapText="1"/>
    </xf>
    <xf numFmtId="167" fontId="7" fillId="3" borderId="1" xfId="0" applyNumberFormat="1" applyFont="1" applyFill="1" applyBorder="1"/>
    <xf numFmtId="165" fontId="7" fillId="3" borderId="1" xfId="0" applyNumberFormat="1" applyFont="1" applyFill="1" applyBorder="1"/>
    <xf numFmtId="165" fontId="8" fillId="3" borderId="1" xfId="0" applyNumberFormat="1" applyFont="1" applyFill="1" applyBorder="1"/>
    <xf numFmtId="0" fontId="12" fillId="0" borderId="0" xfId="0" applyFont="1"/>
    <xf numFmtId="164" fontId="12" fillId="0" borderId="0" xfId="0" applyNumberFormat="1" applyFont="1"/>
    <xf numFmtId="170" fontId="12" fillId="0" borderId="0" xfId="0" applyNumberFormat="1" applyFont="1"/>
    <xf numFmtId="167" fontId="12" fillId="0" borderId="0" xfId="0" applyNumberFormat="1" applyFont="1"/>
    <xf numFmtId="0" fontId="9" fillId="0" borderId="0" xfId="0" applyFont="1"/>
    <xf numFmtId="170" fontId="0" fillId="2" borderId="1" xfId="0" applyNumberFormat="1" applyFill="1" applyBorder="1" applyAlignment="1" applyProtection="1">
      <alignment vertical="center"/>
      <protection locked="0"/>
    </xf>
    <xf numFmtId="168" fontId="3" fillId="3" borderId="1" xfId="0" applyNumberFormat="1" applyFont="1" applyFill="1" applyBorder="1"/>
    <xf numFmtId="169" fontId="0" fillId="3" borderId="1" xfId="0" applyNumberFormat="1" applyFill="1" applyBorder="1"/>
    <xf numFmtId="0" fontId="0" fillId="2" borderId="0" xfId="0" applyFill="1" applyProtection="1">
      <protection locked="0"/>
    </xf>
    <xf numFmtId="0" fontId="7" fillId="0" borderId="0" xfId="0" applyFont="1" applyAlignment="1">
      <alignment vertical="top" wrapText="1"/>
    </xf>
    <xf numFmtId="2" fontId="7" fillId="0" borderId="0" xfId="0" applyNumberFormat="1" applyFont="1"/>
    <xf numFmtId="3" fontId="7" fillId="0" borderId="0" xfId="0" applyNumberFormat="1" applyFont="1"/>
  </cellXfs>
  <cellStyles count="1">
    <cellStyle name="Bình thường" xfId="0" builtinId="0"/>
  </cellStyles>
  <dxfs count="1">
    <dxf>
      <font>
        <b/>
        <color rgb="FFC00000"/>
      </font>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zoomScaleNormal="100" workbookViewId="0"/>
  </sheetViews>
  <sheetFormatPr defaultColWidth="8.6640625" defaultRowHeight="14.4" x14ac:dyDescent="0.3"/>
  <cols>
    <col min="1" max="1" width="130" customWidth="1"/>
  </cols>
  <sheetData>
    <row r="1" spans="1:1" ht="17.25" customHeight="1" x14ac:dyDescent="0.3">
      <c r="A1" s="12" t="s">
        <v>0</v>
      </c>
    </row>
    <row r="2" spans="1:1" ht="16.5" customHeight="1" x14ac:dyDescent="0.3">
      <c r="A2" s="13" t="s">
        <v>1</v>
      </c>
    </row>
    <row r="3" spans="1:1" ht="31.5" customHeight="1" x14ac:dyDescent="0.3">
      <c r="A3" s="14" t="s">
        <v>2</v>
      </c>
    </row>
    <row r="4" spans="1:1" ht="31.5" customHeight="1" x14ac:dyDescent="0.3">
      <c r="A4" s="14" t="s">
        <v>3</v>
      </c>
    </row>
    <row r="5" spans="1:1" ht="46.5" customHeight="1" x14ac:dyDescent="0.3">
      <c r="A5" s="14" t="s">
        <v>4</v>
      </c>
    </row>
    <row r="6" spans="1:1" ht="46.5" customHeight="1" x14ac:dyDescent="0.3">
      <c r="A6" s="14" t="s">
        <v>5</v>
      </c>
    </row>
    <row r="7" spans="1:1" ht="31.5" customHeight="1" x14ac:dyDescent="0.3">
      <c r="A7" s="14" t="s">
        <v>6</v>
      </c>
    </row>
    <row r="8" spans="1:1" ht="16.5" customHeight="1" x14ac:dyDescent="0.3">
      <c r="A8" s="14" t="s">
        <v>7</v>
      </c>
    </row>
    <row r="9" spans="1:1" ht="46.5" customHeight="1" x14ac:dyDescent="0.3">
      <c r="A9" s="14" t="s">
        <v>8</v>
      </c>
    </row>
    <row r="10" spans="1:1" ht="16.5" customHeight="1" x14ac:dyDescent="0.3">
      <c r="A10" s="14" t="s">
        <v>9</v>
      </c>
    </row>
    <row r="11" spans="1:1" ht="31.5" customHeight="1" x14ac:dyDescent="0.3">
      <c r="A11" s="14" t="s">
        <v>10</v>
      </c>
    </row>
    <row r="12" spans="1:1" ht="31.5" customHeight="1" x14ac:dyDescent="0.3">
      <c r="A12" s="14" t="s">
        <v>11</v>
      </c>
    </row>
    <row r="13" spans="1:1" ht="31.5" customHeight="1" x14ac:dyDescent="0.3">
      <c r="A13" s="14" t="s">
        <v>12</v>
      </c>
    </row>
    <row r="14" spans="1:1" ht="16.5" customHeight="1" x14ac:dyDescent="0.3">
      <c r="A14" s="14" t="s">
        <v>13</v>
      </c>
    </row>
    <row r="15" spans="1:1" ht="15" customHeight="1" x14ac:dyDescent="0.3">
      <c r="A15" s="15" t="s">
        <v>14</v>
      </c>
    </row>
    <row r="16" spans="1:1" ht="15" customHeight="1" x14ac:dyDescent="0.3">
      <c r="A16" s="16" t="s">
        <v>15</v>
      </c>
    </row>
    <row r="17" spans="1:1" ht="15" customHeight="1" x14ac:dyDescent="0.3">
      <c r="A17" s="17" t="s">
        <v>16</v>
      </c>
    </row>
    <row r="18" spans="1:1" ht="15" customHeight="1" x14ac:dyDescent="0.3">
      <c r="A18" s="18" t="s">
        <v>17</v>
      </c>
    </row>
  </sheetData>
  <sheetProtection sheet="1" formatColumns="0" formatRows="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sheetViews>
  <sheetFormatPr defaultColWidth="8.6640625" defaultRowHeight="14.4" x14ac:dyDescent="0.3"/>
  <cols>
    <col min="1" max="1" width="52" customWidth="1"/>
    <col min="2" max="2" width="14" customWidth="1"/>
    <col min="3" max="4" width="46" customWidth="1"/>
    <col min="5" max="5" width="36" customWidth="1"/>
  </cols>
  <sheetData>
    <row r="1" spans="1:5" ht="17.25" customHeight="1" x14ac:dyDescent="0.3">
      <c r="A1" s="12" t="s">
        <v>18</v>
      </c>
    </row>
    <row r="2" spans="1:5" ht="15" customHeight="1" x14ac:dyDescent="0.3">
      <c r="A2" s="19" t="s">
        <v>19</v>
      </c>
    </row>
    <row r="4" spans="1:5" ht="26.25" customHeight="1" x14ac:dyDescent="0.3">
      <c r="A4" s="20" t="s">
        <v>20</v>
      </c>
      <c r="B4" s="20" t="s">
        <v>21</v>
      </c>
      <c r="C4" s="20" t="s">
        <v>22</v>
      </c>
      <c r="D4" s="20" t="s">
        <v>23</v>
      </c>
      <c r="E4" s="20" t="s">
        <v>24</v>
      </c>
    </row>
    <row r="5" spans="1:5" ht="33.75" customHeight="1" x14ac:dyDescent="0.3">
      <c r="A5" s="21" t="s">
        <v>25</v>
      </c>
      <c r="B5" s="22" t="s">
        <v>26</v>
      </c>
      <c r="C5" s="21" t="s">
        <v>27</v>
      </c>
      <c r="D5" s="21" t="s">
        <v>28</v>
      </c>
      <c r="E5" s="22"/>
    </row>
    <row r="6" spans="1:5" ht="33.75" customHeight="1" x14ac:dyDescent="0.3">
      <c r="A6" s="21" t="s">
        <v>29</v>
      </c>
      <c r="B6" s="22" t="s">
        <v>30</v>
      </c>
      <c r="C6" s="21" t="s">
        <v>31</v>
      </c>
      <c r="D6" s="21" t="s">
        <v>32</v>
      </c>
      <c r="E6" s="22"/>
    </row>
    <row r="7" spans="1:5" ht="33.75" customHeight="1" x14ac:dyDescent="0.3">
      <c r="A7" s="21" t="s">
        <v>33</v>
      </c>
      <c r="B7" s="22" t="s">
        <v>26</v>
      </c>
      <c r="C7" s="21" t="s">
        <v>34</v>
      </c>
      <c r="D7" s="21" t="s">
        <v>35</v>
      </c>
      <c r="E7" s="22"/>
    </row>
    <row r="8" spans="1:5" ht="33.75" customHeight="1" x14ac:dyDescent="0.3">
      <c r="A8" s="21" t="s">
        <v>36</v>
      </c>
      <c r="B8" s="22" t="s">
        <v>26</v>
      </c>
      <c r="C8" s="21" t="s">
        <v>37</v>
      </c>
      <c r="D8" s="21" t="s">
        <v>38</v>
      </c>
      <c r="E8" s="22"/>
    </row>
    <row r="9" spans="1:5" ht="33.75" customHeight="1" x14ac:dyDescent="0.3">
      <c r="A9" s="21" t="s">
        <v>39</v>
      </c>
      <c r="B9" s="22" t="s">
        <v>26</v>
      </c>
      <c r="C9" s="21" t="s">
        <v>40</v>
      </c>
      <c r="D9" s="21" t="s">
        <v>41</v>
      </c>
      <c r="E9" s="22"/>
    </row>
    <row r="10" spans="1:5" ht="61.5" customHeight="1" x14ac:dyDescent="0.3">
      <c r="A10" s="21" t="s">
        <v>42</v>
      </c>
      <c r="B10" s="22" t="s">
        <v>26</v>
      </c>
      <c r="C10" s="21" t="s">
        <v>43</v>
      </c>
      <c r="D10" s="21" t="s">
        <v>44</v>
      </c>
      <c r="E10" s="22"/>
    </row>
    <row r="12" spans="1:5" ht="15" customHeight="1" x14ac:dyDescent="0.3">
      <c r="A12" s="15" t="s">
        <v>45</v>
      </c>
      <c r="B12" s="17">
        <f>COUNTIF(B5:B10,"Có")</f>
        <v>5</v>
      </c>
    </row>
    <row r="13" spans="1:5" ht="15" customHeight="1" x14ac:dyDescent="0.3">
      <c r="A13" s="19" t="s">
        <v>46</v>
      </c>
    </row>
  </sheetData>
  <sheetProtection sheet="1" formatColumns="0" formatRows="0"/>
  <dataValidations count="1">
    <dataValidation type="list" allowBlank="1" sqref="B5:B10" xr:uid="{00000000-0002-0000-0100-000000000000}">
      <formula1>"Có,Chưa"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9"/>
  <sheetViews>
    <sheetView tabSelected="1" zoomScaleNormal="100" workbookViewId="0">
      <pane ySplit="6" topLeftCell="A7" activePane="bottomLeft" state="frozen"/>
      <selection pane="bottomLeft" activeCell="F12" sqref="F12"/>
    </sheetView>
  </sheetViews>
  <sheetFormatPr defaultColWidth="8.6640625" defaultRowHeight="14.4" x14ac:dyDescent="0.3"/>
  <cols>
    <col min="1" max="1" width="6" customWidth="1"/>
    <col min="2" max="2" width="60" customWidth="1"/>
    <col min="3" max="5" width="14" customWidth="1"/>
    <col min="6" max="6" width="30" customWidth="1"/>
    <col min="7" max="7" width="34" customWidth="1"/>
  </cols>
  <sheetData>
    <row r="1" spans="1:7" ht="17.25" customHeight="1" x14ac:dyDescent="0.3">
      <c r="A1" s="12" t="s">
        <v>47</v>
      </c>
    </row>
    <row r="2" spans="1:7" ht="15" customHeight="1" x14ac:dyDescent="0.3">
      <c r="A2" s="19" t="s">
        <v>48</v>
      </c>
    </row>
    <row r="3" spans="1:7" ht="31.5" customHeight="1" x14ac:dyDescent="0.3">
      <c r="A3" s="11" t="s">
        <v>49</v>
      </c>
      <c r="B3" s="11"/>
      <c r="C3" s="11"/>
      <c r="D3" s="11"/>
      <c r="E3" s="11"/>
      <c r="F3" s="11"/>
      <c r="G3" s="11"/>
    </row>
    <row r="5" spans="1:7" ht="15" customHeight="1" x14ac:dyDescent="0.3">
      <c r="A5" s="15" t="s">
        <v>50</v>
      </c>
    </row>
    <row r="6" spans="1:7" ht="31.5" customHeight="1" x14ac:dyDescent="0.3">
      <c r="A6" s="24" t="s">
        <v>51</v>
      </c>
      <c r="B6" s="24" t="s">
        <v>52</v>
      </c>
      <c r="C6" s="24" t="s">
        <v>53</v>
      </c>
      <c r="D6" s="24" t="s">
        <v>54</v>
      </c>
      <c r="E6" s="24" t="s">
        <v>55</v>
      </c>
      <c r="F6" s="24" t="s">
        <v>56</v>
      </c>
      <c r="G6" s="24" t="s">
        <v>57</v>
      </c>
    </row>
    <row r="7" spans="1:7" ht="30" customHeight="1" x14ac:dyDescent="0.3">
      <c r="A7" s="25">
        <v>1</v>
      </c>
      <c r="B7" s="26" t="s">
        <v>58</v>
      </c>
      <c r="C7" s="27">
        <v>1000</v>
      </c>
      <c r="D7" s="27"/>
      <c r="E7" s="27"/>
      <c r="F7" s="28"/>
      <c r="G7" s="29" t="s">
        <v>59</v>
      </c>
    </row>
    <row r="8" spans="1:7" ht="30" customHeight="1" x14ac:dyDescent="0.3">
      <c r="A8" s="25">
        <v>2</v>
      </c>
      <c r="B8" s="26" t="s">
        <v>60</v>
      </c>
      <c r="C8" s="27">
        <v>300</v>
      </c>
      <c r="D8" s="27"/>
      <c r="E8" s="27"/>
      <c r="F8" s="28" t="s">
        <v>61</v>
      </c>
      <c r="G8" s="29" t="s">
        <v>62</v>
      </c>
    </row>
    <row r="9" spans="1:7" ht="30" customHeight="1" x14ac:dyDescent="0.3">
      <c r="A9" s="25">
        <v>3</v>
      </c>
      <c r="B9" s="26" t="s">
        <v>63</v>
      </c>
      <c r="C9" s="27">
        <v>360</v>
      </c>
      <c r="D9" s="27"/>
      <c r="E9" s="27"/>
      <c r="F9" s="28" t="s">
        <v>64</v>
      </c>
      <c r="G9" s="29" t="s">
        <v>65</v>
      </c>
    </row>
    <row r="10" spans="1:7" ht="30" customHeight="1" x14ac:dyDescent="0.3">
      <c r="A10" s="25">
        <v>4</v>
      </c>
      <c r="B10" s="26" t="s">
        <v>66</v>
      </c>
      <c r="C10" s="27">
        <v>50</v>
      </c>
      <c r="D10" s="27">
        <v>80</v>
      </c>
      <c r="E10" s="27">
        <v>110</v>
      </c>
      <c r="F10" s="28"/>
      <c r="G10" s="29" t="s">
        <v>67</v>
      </c>
    </row>
    <row r="11" spans="1:7" ht="30" customHeight="1" x14ac:dyDescent="0.3">
      <c r="A11" s="25">
        <v>5</v>
      </c>
      <c r="B11" s="26" t="s">
        <v>68</v>
      </c>
      <c r="C11" s="27">
        <v>240</v>
      </c>
      <c r="D11" s="27"/>
      <c r="E11" s="27"/>
      <c r="F11" s="28" t="s">
        <v>69</v>
      </c>
      <c r="G11" s="29" t="s">
        <v>70</v>
      </c>
    </row>
    <row r="12" spans="1:7" ht="30" customHeight="1" x14ac:dyDescent="0.3">
      <c r="A12" s="25">
        <v>6</v>
      </c>
      <c r="B12" s="26" t="s">
        <v>71</v>
      </c>
      <c r="C12" s="27"/>
      <c r="D12" s="27">
        <v>90</v>
      </c>
      <c r="E12" s="27"/>
      <c r="F12" s="28" t="s">
        <v>72</v>
      </c>
      <c r="G12" s="29" t="s">
        <v>73</v>
      </c>
    </row>
    <row r="13" spans="1:7" ht="30" customHeight="1" x14ac:dyDescent="0.3">
      <c r="A13" s="25">
        <v>7</v>
      </c>
      <c r="B13" s="26" t="s">
        <v>74</v>
      </c>
      <c r="C13" s="27">
        <v>15</v>
      </c>
      <c r="D13" s="27">
        <v>25</v>
      </c>
      <c r="E13" s="27">
        <v>35</v>
      </c>
      <c r="F13" s="28" t="s">
        <v>75</v>
      </c>
      <c r="G13" s="29" t="s">
        <v>76</v>
      </c>
    </row>
    <row r="14" spans="1:7" ht="30" customHeight="1" x14ac:dyDescent="0.3">
      <c r="A14" s="25">
        <v>8</v>
      </c>
      <c r="B14" s="26" t="s">
        <v>77</v>
      </c>
      <c r="C14" s="27">
        <v>10</v>
      </c>
      <c r="D14" s="27">
        <v>10</v>
      </c>
      <c r="E14" s="27">
        <v>10</v>
      </c>
      <c r="F14" s="28"/>
      <c r="G14" s="29" t="s">
        <v>78</v>
      </c>
    </row>
    <row r="15" spans="1:7" ht="30" customHeight="1" x14ac:dyDescent="0.3">
      <c r="A15" s="25">
        <v>9</v>
      </c>
      <c r="B15" s="26" t="s">
        <v>79</v>
      </c>
      <c r="C15" s="27">
        <v>120</v>
      </c>
      <c r="D15" s="27">
        <v>120</v>
      </c>
      <c r="E15" s="27">
        <v>120</v>
      </c>
      <c r="F15" s="28"/>
      <c r="G15" s="29" t="s">
        <v>80</v>
      </c>
    </row>
    <row r="16" spans="1:7" ht="30" customHeight="1" x14ac:dyDescent="0.3">
      <c r="A16" s="25">
        <v>10</v>
      </c>
      <c r="B16" s="26" t="s">
        <v>81</v>
      </c>
      <c r="C16" s="27">
        <v>20</v>
      </c>
      <c r="D16" s="27">
        <v>20</v>
      </c>
      <c r="E16" s="27">
        <v>20</v>
      </c>
      <c r="F16" s="28"/>
      <c r="G16" s="29" t="s">
        <v>80</v>
      </c>
    </row>
    <row r="17" spans="1:7" ht="30" customHeight="1" x14ac:dyDescent="0.3">
      <c r="A17" s="25">
        <v>11</v>
      </c>
      <c r="B17" s="26" t="s">
        <v>82</v>
      </c>
      <c r="C17" s="27">
        <v>0</v>
      </c>
      <c r="D17" s="27">
        <v>0</v>
      </c>
      <c r="E17" s="27">
        <v>0</v>
      </c>
      <c r="F17" s="28" t="s">
        <v>83</v>
      </c>
      <c r="G17" s="29" t="s">
        <v>84</v>
      </c>
    </row>
    <row r="19" spans="1:7" ht="16.5" customHeight="1" x14ac:dyDescent="0.3">
      <c r="A19" s="10" t="s">
        <v>85</v>
      </c>
      <c r="B19" s="10"/>
      <c r="C19" s="10"/>
      <c r="D19" s="10"/>
      <c r="E19" s="10"/>
      <c r="F19" s="10"/>
      <c r="G19" s="10"/>
    </row>
    <row r="20" spans="1:7" ht="15" customHeight="1" x14ac:dyDescent="0.3">
      <c r="B20" s="24" t="s">
        <v>86</v>
      </c>
      <c r="C20" s="24" t="s">
        <v>53</v>
      </c>
      <c r="D20" s="24" t="s">
        <v>54</v>
      </c>
      <c r="E20" s="24" t="s">
        <v>55</v>
      </c>
      <c r="F20" s="24" t="s">
        <v>87</v>
      </c>
      <c r="G20" s="24" t="s">
        <v>88</v>
      </c>
    </row>
    <row r="21" spans="1:7" ht="15" customHeight="1" x14ac:dyDescent="0.3">
      <c r="B21" s="31" t="s">
        <v>89</v>
      </c>
      <c r="C21" s="32">
        <v>70</v>
      </c>
      <c r="D21" s="32">
        <v>190</v>
      </c>
      <c r="E21" s="32">
        <v>130</v>
      </c>
      <c r="F21" s="33">
        <f t="shared" ref="F21:F31" si="0">IF(COUNT(C21:E21)=0,"",SUM(C21:E21))</f>
        <v>390</v>
      </c>
    </row>
    <row r="22" spans="1:7" ht="15" customHeight="1" x14ac:dyDescent="0.3">
      <c r="B22" s="31" t="s">
        <v>90</v>
      </c>
      <c r="C22" s="32">
        <v>25</v>
      </c>
      <c r="D22" s="32">
        <v>35</v>
      </c>
      <c r="E22" s="32">
        <v>45</v>
      </c>
      <c r="F22" s="33">
        <f t="shared" si="0"/>
        <v>105</v>
      </c>
    </row>
    <row r="23" spans="1:7" ht="15" customHeight="1" x14ac:dyDescent="0.3">
      <c r="B23" s="34" t="s">
        <v>91</v>
      </c>
      <c r="C23" s="32">
        <v>45</v>
      </c>
      <c r="D23" s="32">
        <v>155</v>
      </c>
      <c r="E23" s="32">
        <v>85</v>
      </c>
      <c r="F23" s="35">
        <f t="shared" si="0"/>
        <v>285</v>
      </c>
      <c r="G23" s="36" t="str">
        <f>IF(COUNT(C21:E21,C22:E22,C23:E23)&lt;9,"Chưa điền",IF(AND(ABS(C23-(C21-C22))&lt;0.01,ABS(D23-(D21-D22))&lt;0.01,ABS(E23-(E21-E22))&lt;0.01),"Đạt","Xem lại phép trừ"))</f>
        <v>Đạt</v>
      </c>
    </row>
    <row r="24" spans="1:7" ht="15" customHeight="1" x14ac:dyDescent="0.3">
      <c r="B24" s="31" t="s">
        <v>92</v>
      </c>
      <c r="C24" s="32">
        <v>140</v>
      </c>
      <c r="D24" s="32">
        <v>140</v>
      </c>
      <c r="E24" s="32">
        <v>140</v>
      </c>
      <c r="F24" s="33">
        <f t="shared" si="0"/>
        <v>420</v>
      </c>
    </row>
    <row r="25" spans="1:7" ht="15" customHeight="1" x14ac:dyDescent="0.3">
      <c r="B25" s="34" t="s">
        <v>93</v>
      </c>
      <c r="C25" s="32">
        <v>-95</v>
      </c>
      <c r="D25" s="32">
        <v>15</v>
      </c>
      <c r="E25" s="32">
        <v>-55</v>
      </c>
      <c r="F25" s="35">
        <f t="shared" si="0"/>
        <v>-135</v>
      </c>
      <c r="G25" s="36" t="str">
        <f>IF(COUNT(C23:E23,C24:E24,C25:E25)&lt;9,"Chưa điền",IF(AND(ABS(C25-(C23-C24))&lt;0.01,ABS(D25-(D23-D24))&lt;0.01,ABS(E25-(E23-E24))&lt;0.01),"Đạt","Xem lại phép trừ"))</f>
        <v>Đạt</v>
      </c>
    </row>
    <row r="26" spans="1:7" ht="15" customHeight="1" x14ac:dyDescent="0.3">
      <c r="B26" s="31" t="s">
        <v>94</v>
      </c>
      <c r="C26" s="32">
        <v>10</v>
      </c>
      <c r="D26" s="32">
        <v>10</v>
      </c>
      <c r="E26" s="32">
        <v>10</v>
      </c>
      <c r="F26" s="33">
        <f t="shared" si="0"/>
        <v>30</v>
      </c>
    </row>
    <row r="27" spans="1:7" ht="15" customHeight="1" x14ac:dyDescent="0.3">
      <c r="B27" s="34" t="s">
        <v>95</v>
      </c>
      <c r="C27" s="32">
        <v>-105</v>
      </c>
      <c r="D27" s="32">
        <v>5</v>
      </c>
      <c r="E27" s="32">
        <v>-65</v>
      </c>
      <c r="F27" s="35">
        <f t="shared" si="0"/>
        <v>-165</v>
      </c>
      <c r="G27" s="36" t="str">
        <f>IF(COUNT(C25:E25,C26:E26,C27:E27)&lt;9,"Chưa điền",IF(AND(ABS(C27-(C25-C26))&lt;0.01,ABS(D27-(D25-D26))&lt;0.01,ABS(E27-(E25-E26))&lt;0.01),"Đạt","Xem lại phép trừ"))</f>
        <v>Đạt</v>
      </c>
    </row>
    <row r="28" spans="1:7" ht="15" customHeight="1" x14ac:dyDescent="0.3">
      <c r="B28" s="31" t="s">
        <v>96</v>
      </c>
      <c r="C28" s="32">
        <v>3</v>
      </c>
      <c r="D28" s="32">
        <v>3</v>
      </c>
      <c r="E28" s="32">
        <v>3</v>
      </c>
      <c r="F28" s="33">
        <f t="shared" si="0"/>
        <v>9</v>
      </c>
    </row>
    <row r="29" spans="1:7" ht="15" customHeight="1" x14ac:dyDescent="0.3">
      <c r="B29" s="34" t="s">
        <v>97</v>
      </c>
      <c r="C29" s="32">
        <v>-108</v>
      </c>
      <c r="D29" s="32">
        <v>2</v>
      </c>
      <c r="E29" s="32">
        <v>-68</v>
      </c>
      <c r="F29" s="35">
        <f t="shared" si="0"/>
        <v>-174</v>
      </c>
      <c r="G29" s="36" t="str">
        <f>IF(COUNT(C27:E27,C28:E28,C29:E29)&lt;9,"Chưa điền",IF(AND(ABS(C29-(C27-C28))&lt;0.01,ABS(D29-(D27-D28))&lt;0.01,ABS(E29-(E27-E28))&lt;0.01),"Đạt","Xem lại phép trừ"))</f>
        <v>Đạt</v>
      </c>
    </row>
    <row r="30" spans="1:7" ht="15" customHeight="1" x14ac:dyDescent="0.3">
      <c r="B30" s="31" t="s">
        <v>82</v>
      </c>
      <c r="C30" s="32">
        <v>0</v>
      </c>
      <c r="D30" s="32">
        <v>0</v>
      </c>
      <c r="E30" s="32">
        <v>0</v>
      </c>
      <c r="F30" s="33">
        <f t="shared" si="0"/>
        <v>0</v>
      </c>
    </row>
    <row r="31" spans="1:7" ht="15" customHeight="1" x14ac:dyDescent="0.3">
      <c r="B31" s="34" t="s">
        <v>98</v>
      </c>
      <c r="C31" s="32">
        <v>-108</v>
      </c>
      <c r="D31" s="32">
        <v>2</v>
      </c>
      <c r="E31" s="32">
        <v>-68</v>
      </c>
      <c r="F31" s="35">
        <f t="shared" si="0"/>
        <v>-174</v>
      </c>
      <c r="G31" s="36" t="str">
        <f>IF(COUNT(C29:E29,C30:E30,C31:E31)&lt;9,"Chưa điền",IF(AND(ABS(C31-(C29-C30))&lt;0.01,ABS(D31-(D29-D30))&lt;0.01,ABS(E31-(E29-E30))&lt;0.01),"Đạt","Xem lại phép trừ"))</f>
        <v>Đạt</v>
      </c>
    </row>
    <row r="32" spans="1:7" ht="15" customHeight="1" x14ac:dyDescent="0.3">
      <c r="B32" s="31" t="s">
        <v>99</v>
      </c>
      <c r="C32" s="37">
        <f>IFERROR(C23/C21,"")</f>
        <v>0.6428571428571429</v>
      </c>
      <c r="D32" s="37">
        <f>IFERROR(D23/D21,"")</f>
        <v>0.81578947368421051</v>
      </c>
      <c r="E32" s="37">
        <f>IFERROR(E23/E21,"")</f>
        <v>0.65384615384615385</v>
      </c>
      <c r="F32" s="37">
        <f>IFERROR(F23/F21,"")</f>
        <v>0.73076923076923073</v>
      </c>
    </row>
    <row r="33" spans="1:7" ht="45" customHeight="1" x14ac:dyDescent="0.3">
      <c r="B33" s="38" t="s">
        <v>100</v>
      </c>
      <c r="G33" s="39" t="str">
        <f>IF(COUNT(C31:E31)&lt;3,"Chưa điền",IF(ABS(F31+174)&lt;0.01,"Đạt: đã ghi theo kỳ","Chưa đúng: có giao dịch đang ghi theo ngày tiền vào ra (xem cột G, dòng 7–17)"))</f>
        <v>Đạt: đã ghi theo kỳ</v>
      </c>
    </row>
    <row r="34" spans="1:7" ht="16.5" customHeight="1" x14ac:dyDescent="0.3">
      <c r="A34" s="10" t="s">
        <v>101</v>
      </c>
      <c r="B34" s="10"/>
      <c r="C34" s="10"/>
      <c r="D34" s="10"/>
      <c r="E34" s="10"/>
      <c r="F34" s="10"/>
      <c r="G34" s="10"/>
    </row>
    <row r="35" spans="1:7" ht="15" customHeight="1" x14ac:dyDescent="0.3">
      <c r="B35" s="24" t="s">
        <v>86</v>
      </c>
      <c r="C35" s="24" t="s">
        <v>102</v>
      </c>
      <c r="G35" s="24" t="s">
        <v>88</v>
      </c>
    </row>
    <row r="36" spans="1:7" ht="15" customHeight="1" x14ac:dyDescent="0.3">
      <c r="B36" s="15" t="s">
        <v>103</v>
      </c>
    </row>
    <row r="37" spans="1:7" ht="15" customHeight="1" x14ac:dyDescent="0.3">
      <c r="B37" s="31" t="s">
        <v>104</v>
      </c>
      <c r="C37" s="32">
        <v>921</v>
      </c>
    </row>
    <row r="38" spans="1:7" ht="15" customHeight="1" x14ac:dyDescent="0.3">
      <c r="B38" s="31" t="s">
        <v>105</v>
      </c>
      <c r="C38" s="32">
        <v>90</v>
      </c>
    </row>
    <row r="39" spans="1:7" ht="15" customHeight="1" x14ac:dyDescent="0.3">
      <c r="B39" s="31" t="s">
        <v>106</v>
      </c>
      <c r="C39" s="32">
        <v>360</v>
      </c>
    </row>
    <row r="40" spans="1:7" ht="15" customHeight="1" x14ac:dyDescent="0.3">
      <c r="B40" s="31" t="s">
        <v>107</v>
      </c>
      <c r="C40" s="32">
        <v>-30</v>
      </c>
    </row>
    <row r="41" spans="1:7" ht="15" customHeight="1" x14ac:dyDescent="0.3">
      <c r="B41" s="34" t="s">
        <v>108</v>
      </c>
      <c r="C41" s="32">
        <v>1341</v>
      </c>
      <c r="G41" s="36" t="str">
        <f>IF(COUNT(C37:C41)&lt;5,"Chưa điền",IF(ABS(C41-SUM(C37:C40))&lt;0.01,"Đạt","Xem lại phép cộng"))</f>
        <v>Đạt</v>
      </c>
    </row>
    <row r="42" spans="1:7" ht="15" customHeight="1" x14ac:dyDescent="0.3">
      <c r="B42" s="15" t="s">
        <v>109</v>
      </c>
    </row>
    <row r="43" spans="1:7" ht="15" customHeight="1" x14ac:dyDescent="0.3">
      <c r="B43" s="31" t="s">
        <v>110</v>
      </c>
      <c r="C43" s="32">
        <v>35</v>
      </c>
    </row>
    <row r="44" spans="1:7" ht="15" customHeight="1" x14ac:dyDescent="0.3">
      <c r="B44" s="31" t="s">
        <v>111</v>
      </c>
      <c r="C44" s="32">
        <v>180</v>
      </c>
    </row>
    <row r="45" spans="1:7" ht="15" customHeight="1" x14ac:dyDescent="0.3">
      <c r="B45" s="31" t="s">
        <v>112</v>
      </c>
      <c r="C45" s="32">
        <v>300</v>
      </c>
    </row>
    <row r="46" spans="1:7" ht="15" customHeight="1" x14ac:dyDescent="0.3">
      <c r="B46" s="34" t="s">
        <v>113</v>
      </c>
      <c r="C46" s="32">
        <v>515</v>
      </c>
      <c r="G46" s="36" t="str">
        <f>IF(COUNT(C43:C46)&lt;4,"Chưa điền",IF(ABS(C46-SUM(C43:C45))&lt;0.01,"Đạt","Xem lại phép cộng"))</f>
        <v>Đạt</v>
      </c>
    </row>
    <row r="47" spans="1:7" ht="15" customHeight="1" x14ac:dyDescent="0.3">
      <c r="B47" s="15" t="s">
        <v>114</v>
      </c>
    </row>
    <row r="48" spans="1:7" ht="15" customHeight="1" x14ac:dyDescent="0.3">
      <c r="B48" s="31" t="s">
        <v>115</v>
      </c>
      <c r="C48" s="32">
        <v>1000</v>
      </c>
    </row>
    <row r="49" spans="1:7" ht="15" customHeight="1" x14ac:dyDescent="0.3">
      <c r="B49" s="31" t="s">
        <v>116</v>
      </c>
      <c r="C49" s="32">
        <v>-174</v>
      </c>
    </row>
    <row r="50" spans="1:7" ht="15" customHeight="1" x14ac:dyDescent="0.3">
      <c r="B50" s="34" t="s">
        <v>117</v>
      </c>
      <c r="C50" s="32">
        <v>826</v>
      </c>
      <c r="G50" s="36" t="str">
        <f>IF(COUNT(C48:C50)&lt;3,"Chưa điền",IF(ABS(C50-SUM(C48:C49))&lt;0.01,"Đạt","Xem lại phép cộng"))</f>
        <v>Đạt</v>
      </c>
    </row>
    <row r="51" spans="1:7" ht="15" customHeight="1" x14ac:dyDescent="0.3">
      <c r="B51" s="31" t="s">
        <v>118</v>
      </c>
      <c r="C51" s="32">
        <v>1341</v>
      </c>
      <c r="G51" s="36" t="str">
        <f>IF(COUNT(C46,C50,C51)&lt;3,"Chưa điền",IF(ABS(C51-(C46+C50))&lt;0.01,"Đạt","Xem lại phép cộng"))</f>
        <v>Đạt</v>
      </c>
    </row>
    <row r="52" spans="1:7" ht="15" customHeight="1" x14ac:dyDescent="0.3">
      <c r="B52" s="34" t="s">
        <v>119</v>
      </c>
      <c r="G52" s="40" t="str">
        <f>IF(COUNT(C41,C51)&lt;2,"Chưa điền",IF(ABS(C41-C51)&lt;0.01,"Đạt: bảng đã cân","Chưa cân: tìm khoản ghi sai"))</f>
        <v>Đạt: bảng đã cân</v>
      </c>
    </row>
    <row r="53" spans="1:7" ht="15" customHeight="1" x14ac:dyDescent="0.3">
      <c r="B53" s="34" t="s">
        <v>120</v>
      </c>
      <c r="G53" s="40" t="str">
        <f>IF(COUNT(C49,F31)&lt;2,"Chưa điền",IF(ABS(C49-F31)&lt;0.01,"Đạt","Chưa khớp bài 1"))</f>
        <v>Đạt</v>
      </c>
    </row>
    <row r="55" spans="1:7" ht="16.5" customHeight="1" x14ac:dyDescent="0.3">
      <c r="A55" s="10" t="s">
        <v>121</v>
      </c>
      <c r="B55" s="10"/>
      <c r="C55" s="10"/>
      <c r="D55" s="10"/>
      <c r="E55" s="10"/>
      <c r="F55" s="10"/>
      <c r="G55" s="10"/>
    </row>
    <row r="56" spans="1:7" ht="15" customHeight="1" x14ac:dyDescent="0.3">
      <c r="B56" s="24" t="s">
        <v>86</v>
      </c>
      <c r="C56" s="24" t="s">
        <v>102</v>
      </c>
      <c r="G56" s="24" t="s">
        <v>88</v>
      </c>
    </row>
    <row r="57" spans="1:7" ht="15" customHeight="1" x14ac:dyDescent="0.3">
      <c r="B57" s="31" t="s">
        <v>98</v>
      </c>
      <c r="C57" s="32">
        <v>-174</v>
      </c>
    </row>
    <row r="58" spans="1:7" ht="16.5" customHeight="1" x14ac:dyDescent="0.3">
      <c r="B58" s="41" t="s">
        <v>122</v>
      </c>
      <c r="C58" s="32">
        <v>30</v>
      </c>
    </row>
    <row r="59" spans="1:7" ht="31.5" customHeight="1" x14ac:dyDescent="0.3">
      <c r="B59" s="41" t="s">
        <v>123</v>
      </c>
      <c r="C59" s="32">
        <v>-90</v>
      </c>
    </row>
    <row r="60" spans="1:7" ht="31.5" customHeight="1" x14ac:dyDescent="0.3">
      <c r="B60" s="41" t="s">
        <v>124</v>
      </c>
      <c r="C60" s="32">
        <v>35</v>
      </c>
    </row>
    <row r="61" spans="1:7" ht="16.5" customHeight="1" x14ac:dyDescent="0.3">
      <c r="B61" s="41" t="s">
        <v>125</v>
      </c>
      <c r="C61" s="32">
        <v>180</v>
      </c>
    </row>
    <row r="62" spans="1:7" ht="15" customHeight="1" x14ac:dyDescent="0.3">
      <c r="B62" s="34" t="s">
        <v>126</v>
      </c>
      <c r="C62" s="32">
        <v>-19</v>
      </c>
      <c r="G62" s="36" t="str">
        <f>IF(COUNT(C57:C62)&lt;6,"Chưa điền",IF(ABS(C62-SUM(C57:C61))&lt;0.01,"Đạt","Xem lại phép cộng"))</f>
        <v>Đạt</v>
      </c>
    </row>
    <row r="63" spans="1:7" ht="15" customHeight="1" x14ac:dyDescent="0.3">
      <c r="B63" s="31" t="s">
        <v>127</v>
      </c>
      <c r="C63" s="32">
        <v>-360</v>
      </c>
    </row>
    <row r="64" spans="1:7" ht="15" customHeight="1" x14ac:dyDescent="0.3">
      <c r="B64" s="34" t="s">
        <v>128</v>
      </c>
      <c r="C64" s="32">
        <v>-360</v>
      </c>
      <c r="G64" s="36" t="str">
        <f>IF(COUNT(C63:C64)&lt;2,"Chưa điền",IF(ABS(C64-SUM(C63:C63))&lt;0.01,"Đạt","Xem lại phép cộng"))</f>
        <v>Đạt</v>
      </c>
    </row>
    <row r="65" spans="1:7" ht="15" customHeight="1" x14ac:dyDescent="0.3">
      <c r="B65" s="31" t="s">
        <v>129</v>
      </c>
      <c r="C65" s="32">
        <v>1000</v>
      </c>
    </row>
    <row r="66" spans="1:7" ht="15" customHeight="1" x14ac:dyDescent="0.3">
      <c r="B66" s="31" t="s">
        <v>130</v>
      </c>
      <c r="C66" s="32">
        <v>300</v>
      </c>
    </row>
    <row r="67" spans="1:7" ht="15" customHeight="1" x14ac:dyDescent="0.3">
      <c r="B67" s="34" t="s">
        <v>131</v>
      </c>
      <c r="C67" s="32">
        <v>1300</v>
      </c>
      <c r="G67" s="36" t="str">
        <f>IF(COUNT(C65:C67)&lt;3,"Chưa điền",IF(ABS(C67-SUM(C65:C66))&lt;0.01,"Đạt","Xem lại phép cộng"))</f>
        <v>Đạt</v>
      </c>
    </row>
    <row r="68" spans="1:7" ht="15" customHeight="1" x14ac:dyDescent="0.3">
      <c r="B68" s="34" t="s">
        <v>132</v>
      </c>
      <c r="C68" s="32">
        <v>921</v>
      </c>
      <c r="G68" s="36" t="str">
        <f>IF(COUNT(C62,C64,C67,C68)&lt;4,"Chưa điền",IF(ABS(C68-(C62+C64+C67))&lt;0.01,"Đạt","Xem lại phép cộng"))</f>
        <v>Đạt</v>
      </c>
    </row>
    <row r="69" spans="1:7" ht="15" customHeight="1" x14ac:dyDescent="0.3">
      <c r="B69" s="31" t="s">
        <v>133</v>
      </c>
      <c r="C69" s="42">
        <v>0</v>
      </c>
    </row>
    <row r="70" spans="1:7" ht="15" customHeight="1" x14ac:dyDescent="0.3">
      <c r="B70" s="34" t="s">
        <v>134</v>
      </c>
      <c r="C70" s="32">
        <v>921</v>
      </c>
      <c r="G70" s="36" t="str">
        <f>IF(COUNT(C68:C70)&lt;3,"Chưa điền",IF(ABS(C70-(C68+C69))&lt;0.01,"Đạt","Xem lại phép cộng"))</f>
        <v>Đạt</v>
      </c>
    </row>
    <row r="71" spans="1:7" ht="31.5" customHeight="1" x14ac:dyDescent="0.3">
      <c r="B71" s="34" t="s">
        <v>135</v>
      </c>
      <c r="G71" s="39" t="str">
        <f>IF(COUNT(C70,C37)&lt;2,"Chưa điền",IF(ABS(C70-C37)&lt;0.01,"Đạt: ba báo cáo đã khớp","Chưa khớp: soát dấu +/− ở dòng 58–66, rồi soát dòng Tiền ở bảng cân đối"))</f>
        <v>Đạt: ba báo cáo đã khớp</v>
      </c>
    </row>
    <row r="72" spans="1:7" ht="15" customHeight="1" x14ac:dyDescent="0.3">
      <c r="B72" s="34" t="s">
        <v>136</v>
      </c>
      <c r="G72" s="40" t="str">
        <f>IF(COUNT(C57,F31)&lt;2,"Chưa điền",IF(ABS(C57-F31)&lt;0.01,"Đạt","Chưa khớp bài 1"))</f>
        <v>Đạt</v>
      </c>
    </row>
    <row r="74" spans="1:7" ht="15" customHeight="1" x14ac:dyDescent="0.3">
      <c r="A74" s="15" t="s">
        <v>137</v>
      </c>
    </row>
    <row r="75" spans="1:7" ht="48" customHeight="1" x14ac:dyDescent="0.3">
      <c r="B75" s="41" t="s">
        <v>138</v>
      </c>
      <c r="C75" s="9" t="s">
        <v>139</v>
      </c>
      <c r="D75" s="9"/>
      <c r="E75" s="9"/>
      <c r="F75" s="9"/>
      <c r="G75" s="9"/>
    </row>
    <row r="76" spans="1:7" ht="48" customHeight="1" x14ac:dyDescent="0.3">
      <c r="B76" s="41" t="s">
        <v>140</v>
      </c>
      <c r="C76" s="9" t="s">
        <v>141</v>
      </c>
      <c r="D76" s="9"/>
      <c r="E76" s="9"/>
      <c r="F76" s="9"/>
      <c r="G76" s="9"/>
    </row>
    <row r="77" spans="1:7" ht="48" customHeight="1" x14ac:dyDescent="0.3">
      <c r="B77" s="41" t="s">
        <v>142</v>
      </c>
      <c r="C77" s="9" t="s">
        <v>143</v>
      </c>
      <c r="D77" s="9"/>
      <c r="E77" s="9"/>
      <c r="F77" s="9"/>
      <c r="G77" s="9"/>
    </row>
    <row r="78" spans="1:7" ht="48" customHeight="1" x14ac:dyDescent="0.3">
      <c r="B78" s="41" t="s">
        <v>144</v>
      </c>
      <c r="C78" s="9" t="s">
        <v>145</v>
      </c>
      <c r="D78" s="9"/>
      <c r="E78" s="9"/>
      <c r="F78" s="9"/>
      <c r="G78" s="9"/>
    </row>
    <row r="80" spans="1:7" ht="15" customHeight="1" x14ac:dyDescent="0.3">
      <c r="A80" s="15" t="s">
        <v>146</v>
      </c>
    </row>
    <row r="81" spans="2:7" ht="31.5" customHeight="1" x14ac:dyDescent="0.3">
      <c r="B81" s="11" t="s">
        <v>147</v>
      </c>
      <c r="C81" s="11"/>
      <c r="D81" s="11"/>
      <c r="E81" s="11"/>
      <c r="F81" s="11"/>
      <c r="G81" s="11"/>
    </row>
    <row r="82" spans="2:7" ht="15" customHeight="1" x14ac:dyDescent="0.3">
      <c r="B82" s="31" t="s">
        <v>148</v>
      </c>
      <c r="C82" s="42">
        <v>360</v>
      </c>
    </row>
    <row r="83" spans="2:7" ht="15" customHeight="1" x14ac:dyDescent="0.3">
      <c r="B83" s="31" t="s">
        <v>149</v>
      </c>
      <c r="C83" s="42">
        <v>12</v>
      </c>
    </row>
    <row r="84" spans="2:7" ht="15" customHeight="1" x14ac:dyDescent="0.3">
      <c r="B84" s="31" t="s">
        <v>150</v>
      </c>
      <c r="C84" s="42">
        <v>36</v>
      </c>
    </row>
    <row r="85" spans="2:7" ht="15" customHeight="1" x14ac:dyDescent="0.3">
      <c r="B85" s="31" t="s">
        <v>151</v>
      </c>
      <c r="C85" s="43">
        <v>0.15</v>
      </c>
    </row>
    <row r="86" spans="2:7" ht="46.5" customHeight="1" x14ac:dyDescent="0.3">
      <c r="B86" s="41" t="s">
        <v>152</v>
      </c>
      <c r="C86" s="44">
        <v>346.17</v>
      </c>
      <c r="G86" s="36" t="str">
        <f>IF(C86="","Chưa điền",IF(ABS(C86-PV(C85/12,C84,-C83))&lt;1,"Đạt","Xem lại"))</f>
        <v>Đạt</v>
      </c>
    </row>
    <row r="87" spans="2:7" ht="15" customHeight="1" x14ac:dyDescent="0.3">
      <c r="B87" s="31" t="s">
        <v>153</v>
      </c>
      <c r="C87" s="45" t="s">
        <v>154</v>
      </c>
      <c r="G87" s="36" t="str">
        <f>IF(C87="","Chưa điền",IF(C87=IF(PV(C85/12,C84,-C83)&lt;C82,"Thuê","Mua"),"Đạt","Xem lại"))</f>
        <v>Đạt</v>
      </c>
    </row>
    <row r="88" spans="2:7" ht="31.5" customHeight="1" x14ac:dyDescent="0.3">
      <c r="B88" s="41" t="s">
        <v>155</v>
      </c>
      <c r="C88" s="44">
        <v>382.94</v>
      </c>
      <c r="G88" s="36" t="str">
        <f>IF(C88="","Chưa điền",IF(ABS(C88-PV(0.08/12,C84,-C83))&lt;1,"Đạt","Xem lại"))</f>
        <v>Đạt</v>
      </c>
    </row>
    <row r="89" spans="2:7" ht="15" customHeight="1" x14ac:dyDescent="0.3">
      <c r="B89" s="31" t="s">
        <v>156</v>
      </c>
      <c r="C89" s="45" t="s">
        <v>157</v>
      </c>
      <c r="G89" s="36" t="str">
        <f>IF(C89="","Chưa điền",IF(C89=IF(PV(0.08/12,C84,-C83)&lt;C82,"Thuê","Mua"),"Đạt","Xem lại"))</f>
        <v>Đạt</v>
      </c>
    </row>
  </sheetData>
  <sheetProtection sheet="1" formatColumns="0" formatRows="0"/>
  <mergeCells count="9">
    <mergeCell ref="C76:G76"/>
    <mergeCell ref="C77:G77"/>
    <mergeCell ref="C78:G78"/>
    <mergeCell ref="B81:G81"/>
    <mergeCell ref="A3:G3"/>
    <mergeCell ref="A19:G19"/>
    <mergeCell ref="A34:G34"/>
    <mergeCell ref="A55:G55"/>
    <mergeCell ref="C75:G75"/>
  </mergeCells>
  <dataValidations count="1">
    <dataValidation type="list" allowBlank="1" sqref="C87 C89" xr:uid="{00000000-0002-0000-0200-000000000000}">
      <formula1>"Mua,Thuê"</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7"/>
  <sheetViews>
    <sheetView zoomScaleNormal="100" workbookViewId="0"/>
  </sheetViews>
  <sheetFormatPr defaultColWidth="8.6640625" defaultRowHeight="14.4" x14ac:dyDescent="0.3"/>
  <cols>
    <col min="1" max="1" width="48" customWidth="1"/>
    <col min="2" max="2" width="22" customWidth="1"/>
    <col min="3" max="3" width="18" customWidth="1"/>
    <col min="4" max="4" width="60" customWidth="1"/>
    <col min="5" max="5" width="64" customWidth="1"/>
  </cols>
  <sheetData>
    <row r="1" spans="1:5" ht="17.25" customHeight="1" x14ac:dyDescent="0.3">
      <c r="A1" s="12" t="s">
        <v>158</v>
      </c>
    </row>
    <row r="2" spans="1:5" ht="15" customHeight="1" x14ac:dyDescent="0.3">
      <c r="A2" s="19" t="s">
        <v>159</v>
      </c>
    </row>
    <row r="3" spans="1:5" ht="31.5" customHeight="1" x14ac:dyDescent="0.3">
      <c r="A3" s="8" t="s">
        <v>160</v>
      </c>
      <c r="B3" s="8"/>
      <c r="C3" s="8"/>
      <c r="D3" s="8"/>
      <c r="E3" s="8"/>
    </row>
    <row r="4" spans="1:5" ht="15" customHeight="1" x14ac:dyDescent="0.3">
      <c r="A4" s="24" t="s">
        <v>161</v>
      </c>
      <c r="B4" s="24" t="s">
        <v>162</v>
      </c>
      <c r="C4" s="24" t="s">
        <v>163</v>
      </c>
      <c r="D4" s="24" t="s">
        <v>164</v>
      </c>
      <c r="E4" s="24" t="s">
        <v>165</v>
      </c>
    </row>
    <row r="5" spans="1:5" ht="30" customHeight="1" x14ac:dyDescent="0.3">
      <c r="A5" s="46" t="s">
        <v>166</v>
      </c>
      <c r="B5" s="47" t="s">
        <v>167</v>
      </c>
      <c r="C5" s="48"/>
      <c r="D5" s="49"/>
      <c r="E5" s="50" t="s">
        <v>168</v>
      </c>
    </row>
    <row r="6" spans="1:5" ht="30" customHeight="1" x14ac:dyDescent="0.3">
      <c r="A6" s="46" t="s">
        <v>169</v>
      </c>
      <c r="B6" s="51">
        <v>2</v>
      </c>
      <c r="C6" s="48" t="s">
        <v>170</v>
      </c>
      <c r="D6" s="49" t="s">
        <v>171</v>
      </c>
      <c r="E6" s="50" t="s">
        <v>172</v>
      </c>
    </row>
    <row r="7" spans="1:5" ht="43.5" customHeight="1" x14ac:dyDescent="0.3">
      <c r="A7" s="46" t="s">
        <v>173</v>
      </c>
      <c r="B7" s="51">
        <v>2000</v>
      </c>
      <c r="C7" s="48" t="s">
        <v>174</v>
      </c>
      <c r="D7" s="49" t="s">
        <v>175</v>
      </c>
      <c r="E7" s="50" t="s">
        <v>176</v>
      </c>
    </row>
    <row r="8" spans="1:5" ht="15.75" customHeight="1" x14ac:dyDescent="0.3">
      <c r="A8" s="46" t="s">
        <v>177</v>
      </c>
      <c r="B8" s="51">
        <v>300</v>
      </c>
      <c r="C8" s="48" t="s">
        <v>174</v>
      </c>
      <c r="D8" s="49" t="s">
        <v>178</v>
      </c>
      <c r="E8" s="50" t="s">
        <v>179</v>
      </c>
    </row>
    <row r="9" spans="1:5" ht="43.5" customHeight="1" x14ac:dyDescent="0.3">
      <c r="A9" s="46" t="s">
        <v>180</v>
      </c>
      <c r="B9" s="51">
        <v>0.4</v>
      </c>
      <c r="C9" s="48" t="s">
        <v>181</v>
      </c>
      <c r="D9" s="49" t="s">
        <v>182</v>
      </c>
      <c r="E9" s="50" t="s">
        <v>183</v>
      </c>
    </row>
    <row r="10" spans="1:5" ht="30" customHeight="1" x14ac:dyDescent="0.3">
      <c r="A10" s="46" t="s">
        <v>184</v>
      </c>
      <c r="B10" s="51">
        <v>1.6</v>
      </c>
      <c r="C10" s="48" t="s">
        <v>181</v>
      </c>
      <c r="D10" s="49" t="s">
        <v>185</v>
      </c>
      <c r="E10" s="50" t="s">
        <v>186</v>
      </c>
    </row>
    <row r="11" spans="1:5" ht="30" customHeight="1" x14ac:dyDescent="0.3">
      <c r="A11" s="46" t="s">
        <v>187</v>
      </c>
      <c r="B11" s="51">
        <v>26000</v>
      </c>
      <c r="C11" s="48" t="s">
        <v>188</v>
      </c>
      <c r="D11" s="49" t="s">
        <v>189</v>
      </c>
      <c r="E11" s="50" t="s">
        <v>190</v>
      </c>
    </row>
    <row r="12" spans="1:5" ht="30" customHeight="1" x14ac:dyDescent="0.3">
      <c r="A12" s="46" t="s">
        <v>191</v>
      </c>
      <c r="B12" s="52">
        <v>0.1</v>
      </c>
      <c r="C12" s="48" t="s">
        <v>192</v>
      </c>
      <c r="D12" s="49" t="s">
        <v>193</v>
      </c>
      <c r="E12" s="50" t="s">
        <v>194</v>
      </c>
    </row>
    <row r="13" spans="1:5" ht="43.5" customHeight="1" x14ac:dyDescent="0.3">
      <c r="A13" s="46" t="s">
        <v>195</v>
      </c>
      <c r="B13" s="51">
        <v>100</v>
      </c>
      <c r="C13" s="48" t="s">
        <v>196</v>
      </c>
      <c r="D13" s="49" t="s">
        <v>197</v>
      </c>
      <c r="E13" s="50" t="s">
        <v>198</v>
      </c>
    </row>
    <row r="14" spans="1:5" ht="30" customHeight="1" x14ac:dyDescent="0.3">
      <c r="A14" s="46" t="s">
        <v>199</v>
      </c>
      <c r="B14" s="52">
        <v>0.1</v>
      </c>
      <c r="C14" s="48" t="s">
        <v>192</v>
      </c>
      <c r="D14" s="49" t="s">
        <v>200</v>
      </c>
      <c r="E14" s="50" t="s">
        <v>201</v>
      </c>
    </row>
    <row r="15" spans="1:5" ht="15.75" customHeight="1" x14ac:dyDescent="0.3">
      <c r="A15" s="46" t="s">
        <v>202</v>
      </c>
      <c r="B15" s="51">
        <v>1.5</v>
      </c>
      <c r="C15" s="48" t="s">
        <v>203</v>
      </c>
      <c r="D15" s="49" t="s">
        <v>204</v>
      </c>
      <c r="E15" s="50" t="s">
        <v>205</v>
      </c>
    </row>
    <row r="16" spans="1:5" ht="30" customHeight="1" x14ac:dyDescent="0.3">
      <c r="A16" s="46" t="s">
        <v>206</v>
      </c>
      <c r="B16" s="51">
        <v>60000</v>
      </c>
      <c r="C16" s="48" t="s">
        <v>207</v>
      </c>
      <c r="D16" s="49" t="s">
        <v>208</v>
      </c>
      <c r="E16" s="50" t="s">
        <v>209</v>
      </c>
    </row>
    <row r="17" spans="1:5" ht="30" customHeight="1" x14ac:dyDescent="0.3">
      <c r="A17" s="46" t="s">
        <v>210</v>
      </c>
      <c r="B17" s="51">
        <v>60</v>
      </c>
      <c r="C17" s="48" t="s">
        <v>196</v>
      </c>
      <c r="D17" s="49" t="s">
        <v>211</v>
      </c>
      <c r="E17" s="50" t="s">
        <v>212</v>
      </c>
    </row>
    <row r="18" spans="1:5" ht="15.75" customHeight="1" x14ac:dyDescent="0.3">
      <c r="A18" s="46" t="s">
        <v>213</v>
      </c>
      <c r="B18" s="51">
        <v>30</v>
      </c>
      <c r="C18" s="48" t="s">
        <v>196</v>
      </c>
      <c r="D18" s="49" t="s">
        <v>214</v>
      </c>
      <c r="E18" s="50" t="s">
        <v>215</v>
      </c>
    </row>
    <row r="20" spans="1:5" ht="15" customHeight="1" x14ac:dyDescent="0.3">
      <c r="A20" s="15" t="s">
        <v>216</v>
      </c>
    </row>
    <row r="21" spans="1:5" ht="15" customHeight="1" x14ac:dyDescent="0.3">
      <c r="A21" s="53" t="s">
        <v>217</v>
      </c>
      <c r="B21" s="54">
        <f>IFERROR(B6*(B7*B9+B8*B10)/1000000*B11*(1+B12),0)</f>
        <v>73.216000000000008</v>
      </c>
    </row>
    <row r="22" spans="1:5" ht="15" customHeight="1" x14ac:dyDescent="0.3">
      <c r="A22" s="53" t="s">
        <v>218</v>
      </c>
      <c r="B22" s="54">
        <f>IFERROR(B14*B15/60*B16,0)</f>
        <v>150.00000000000003</v>
      </c>
    </row>
    <row r="23" spans="1:5" ht="15" customHeight="1" x14ac:dyDescent="0.3">
      <c r="A23" s="53" t="s">
        <v>219</v>
      </c>
      <c r="B23" s="54">
        <f>B13+B17+B18</f>
        <v>190</v>
      </c>
    </row>
    <row r="24" spans="1:5" ht="15.75" customHeight="1" x14ac:dyDescent="0.3">
      <c r="A24" s="53" t="s">
        <v>220</v>
      </c>
      <c r="B24" s="55">
        <f>B21+B22+B23</f>
        <v>413.21600000000001</v>
      </c>
      <c r="E24" s="23" t="s">
        <v>221</v>
      </c>
    </row>
    <row r="25" spans="1:5" ht="15" customHeight="1" x14ac:dyDescent="0.3">
      <c r="A25" s="53" t="s">
        <v>222</v>
      </c>
      <c r="B25" s="56">
        <f>IFERROR((B24-B21)/B21,0)</f>
        <v>4.6437937062937058</v>
      </c>
      <c r="C25" s="57" t="s">
        <v>223</v>
      </c>
    </row>
    <row r="26" spans="1:5" ht="15" customHeight="1" x14ac:dyDescent="0.3">
      <c r="A26" s="53" t="s">
        <v>224</v>
      </c>
      <c r="B26" s="54">
        <f>3*B24</f>
        <v>1239.6480000000001</v>
      </c>
      <c r="C26" s="57" t="s">
        <v>225</v>
      </c>
    </row>
    <row r="27" spans="1:5" ht="15" customHeight="1" x14ac:dyDescent="0.3">
      <c r="A27" s="53" t="s">
        <v>226</v>
      </c>
      <c r="B27" s="54">
        <f>B24/(1-0.6)</f>
        <v>1033.04</v>
      </c>
      <c r="C27" s="57" t="s">
        <v>227</v>
      </c>
    </row>
  </sheetData>
  <sheetProtection sheet="1" formatColumns="0" formatRows="0"/>
  <mergeCells count="1">
    <mergeCell ref="A3:E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0"/>
  <sheetViews>
    <sheetView zoomScaleNormal="100" workbookViewId="0"/>
  </sheetViews>
  <sheetFormatPr defaultColWidth="8.6640625" defaultRowHeight="14.4" x14ac:dyDescent="0.3"/>
  <cols>
    <col min="1" max="1" width="44" customWidth="1"/>
    <col min="2" max="3" width="30" customWidth="1"/>
    <col min="4" max="4" width="22" customWidth="1"/>
    <col min="5" max="5" width="20" customWidth="1"/>
    <col min="6" max="6" width="18" customWidth="1"/>
    <col min="7" max="7" width="22" customWidth="1"/>
    <col min="8" max="8" width="20" customWidth="1"/>
    <col min="9" max="9" width="46" customWidth="1"/>
  </cols>
  <sheetData>
    <row r="1" spans="1:9" ht="17.25" customHeight="1" x14ac:dyDescent="0.3">
      <c r="A1" s="12" t="s">
        <v>228</v>
      </c>
    </row>
    <row r="2" spans="1:9" ht="15" customHeight="1" x14ac:dyDescent="0.3">
      <c r="A2" s="19" t="s">
        <v>229</v>
      </c>
    </row>
    <row r="4" spans="1:9" ht="15" customHeight="1" x14ac:dyDescent="0.3">
      <c r="A4" s="24" t="s">
        <v>230</v>
      </c>
      <c r="B4" s="24" t="s">
        <v>162</v>
      </c>
      <c r="C4" s="24" t="s">
        <v>56</v>
      </c>
      <c r="D4" s="24" t="s">
        <v>164</v>
      </c>
    </row>
    <row r="5" spans="1:9" ht="33" customHeight="1" x14ac:dyDescent="0.3">
      <c r="A5" s="21" t="s">
        <v>231</v>
      </c>
      <c r="B5" s="58" t="s">
        <v>232</v>
      </c>
      <c r="C5" s="14" t="s">
        <v>233</v>
      </c>
      <c r="D5" s="59" t="s">
        <v>234</v>
      </c>
    </row>
    <row r="6" spans="1:9" ht="63" customHeight="1" x14ac:dyDescent="0.3">
      <c r="A6" s="21" t="s">
        <v>235</v>
      </c>
      <c r="B6" s="58" t="s">
        <v>236</v>
      </c>
      <c r="C6" s="14" t="s">
        <v>237</v>
      </c>
      <c r="D6" s="60"/>
    </row>
    <row r="7" spans="1:9" ht="108" customHeight="1" x14ac:dyDescent="0.3">
      <c r="A7" s="21" t="s">
        <v>238</v>
      </c>
      <c r="B7" s="58" t="s">
        <v>239</v>
      </c>
      <c r="D7" s="60"/>
    </row>
    <row r="8" spans="1:9" ht="33" customHeight="1" x14ac:dyDescent="0.3">
      <c r="A8" s="21" t="s">
        <v>240</v>
      </c>
      <c r="B8" s="58" t="s">
        <v>241</v>
      </c>
      <c r="C8" s="14" t="s">
        <v>242</v>
      </c>
      <c r="D8" s="59" t="s">
        <v>243</v>
      </c>
    </row>
    <row r="9" spans="1:9" ht="15" customHeight="1" x14ac:dyDescent="0.3">
      <c r="A9" s="53" t="s">
        <v>244</v>
      </c>
      <c r="B9" s="61">
        <v>499000</v>
      </c>
      <c r="C9" t="s">
        <v>196</v>
      </c>
      <c r="D9" s="60" t="s">
        <v>245</v>
      </c>
    </row>
    <row r="10" spans="1:9" ht="15" customHeight="1" x14ac:dyDescent="0.3">
      <c r="A10" s="53" t="s">
        <v>246</v>
      </c>
      <c r="B10" s="61">
        <v>300</v>
      </c>
      <c r="C10" t="s">
        <v>247</v>
      </c>
      <c r="D10" s="60" t="s">
        <v>248</v>
      </c>
    </row>
    <row r="11" spans="1:9" ht="15" customHeight="1" x14ac:dyDescent="0.3">
      <c r="A11" s="53" t="s">
        <v>249</v>
      </c>
      <c r="B11" s="61">
        <v>1500</v>
      </c>
      <c r="C11" t="s">
        <v>250</v>
      </c>
      <c r="D11" s="60" t="s">
        <v>251</v>
      </c>
    </row>
    <row r="12" spans="1:9" ht="31.5" customHeight="1" x14ac:dyDescent="0.3">
      <c r="A12" s="21" t="s">
        <v>252</v>
      </c>
      <c r="B12" s="61">
        <v>499000</v>
      </c>
      <c r="C12" t="s">
        <v>253</v>
      </c>
      <c r="D12" s="60" t="s">
        <v>254</v>
      </c>
    </row>
    <row r="14" spans="1:9" ht="46.5" customHeight="1" x14ac:dyDescent="0.3">
      <c r="A14" s="24" t="s">
        <v>255</v>
      </c>
      <c r="B14" s="62" t="s">
        <v>256</v>
      </c>
      <c r="C14" s="62" t="s">
        <v>257</v>
      </c>
      <c r="D14" s="24" t="s">
        <v>258</v>
      </c>
      <c r="E14" s="62" t="s">
        <v>259</v>
      </c>
      <c r="F14" s="24" t="s">
        <v>260</v>
      </c>
      <c r="G14" s="24" t="s">
        <v>261</v>
      </c>
      <c r="H14" s="24" t="s">
        <v>262</v>
      </c>
      <c r="I14" s="24" t="s">
        <v>164</v>
      </c>
    </row>
    <row r="15" spans="1:9" ht="15" customHeight="1" x14ac:dyDescent="0.3">
      <c r="A15" s="53" t="s">
        <v>263</v>
      </c>
      <c r="B15" s="63">
        <v>0.85</v>
      </c>
      <c r="C15" s="64">
        <v>300</v>
      </c>
      <c r="D15" s="54">
        <f>B9+MAX(0,C15-B10)*B11</f>
        <v>499000</v>
      </c>
      <c r="E15" s="54">
        <f>C15*'1_Chi phí mỗi việc'!B24</f>
        <v>123964.8</v>
      </c>
      <c r="F15" s="56">
        <f>IFERROR((D15-E15)/D15,0)</f>
        <v>0.75157354709418844</v>
      </c>
      <c r="G15" s="54">
        <f>B12</f>
        <v>499000</v>
      </c>
      <c r="H15" s="56">
        <f>IFERROR((G15-E15)/G15,0)</f>
        <v>0.75157354709418844</v>
      </c>
      <c r="I15" s="60" t="s">
        <v>264</v>
      </c>
    </row>
    <row r="16" spans="1:9" ht="15" customHeight="1" x14ac:dyDescent="0.3">
      <c r="A16" s="53" t="s">
        <v>265</v>
      </c>
      <c r="B16" s="63">
        <v>0.15</v>
      </c>
      <c r="C16" s="64">
        <v>3000</v>
      </c>
      <c r="D16" s="54">
        <f>B9+MAX(0,C16-B10)*B11</f>
        <v>4549000</v>
      </c>
      <c r="E16" s="54">
        <f>C16*'1_Chi phí mỗi việc'!B24</f>
        <v>1239648</v>
      </c>
      <c r="F16" s="56">
        <f>IFERROR((D16-E16)/D16,0)</f>
        <v>0.72748999780171464</v>
      </c>
      <c r="G16" s="54">
        <f>B12</f>
        <v>499000</v>
      </c>
      <c r="H16" s="56">
        <f>IFERROR((G16-E16)/G16,0)</f>
        <v>-1.4842645290581162</v>
      </c>
      <c r="I16" s="60" t="s">
        <v>266</v>
      </c>
    </row>
    <row r="17" spans="1:8" ht="15" customHeight="1" x14ac:dyDescent="0.3">
      <c r="A17" s="15" t="s">
        <v>267</v>
      </c>
      <c r="B17" s="56">
        <f>B15+B16</f>
        <v>1</v>
      </c>
      <c r="C17" s="65">
        <f>SUMPRODUCT(B15:B16,C15:C16)</f>
        <v>705</v>
      </c>
      <c r="D17" s="55">
        <f>SUMPRODUCT($B15:$B16,D15:D16)</f>
        <v>1106500</v>
      </c>
      <c r="E17" s="55">
        <f>SUMPRODUCT($B15:$B16,E15:E16)</f>
        <v>291317.27999999997</v>
      </c>
      <c r="F17" s="66">
        <f>IFERROR((D17-E17)/D17,0)</f>
        <v>0.73672184365115223</v>
      </c>
      <c r="G17" s="55">
        <f>SUMPRODUCT($B15:$B16,G15:G16)</f>
        <v>499000</v>
      </c>
      <c r="H17" s="66">
        <f>IFERROR((G17-E17)/G17,0)</f>
        <v>0.41619783567134272</v>
      </c>
    </row>
    <row r="18" spans="1:8" ht="15" customHeight="1" x14ac:dyDescent="0.3">
      <c r="A18" t="s">
        <v>268</v>
      </c>
      <c r="B18" s="67" t="str">
        <f>IF(B17=0,"Chưa điền",IF(ABS(B17-1)&lt;0.001,"Đạt","Sai: tổng khác 100%"))</f>
        <v>Đạt</v>
      </c>
    </row>
    <row r="19" spans="1:8" ht="15" customHeight="1" x14ac:dyDescent="0.3">
      <c r="A19" t="s">
        <v>269</v>
      </c>
      <c r="B19" s="67" t="str">
        <f>IF(B11=0,"Chưa điền",IF(B11&gt;='1_Chi phí mỗi việc'!B26,"Đạt","Thấp hơn giá sàn"))</f>
        <v>Đạt</v>
      </c>
    </row>
    <row r="21" spans="1:8" ht="15" customHeight="1" x14ac:dyDescent="0.3">
      <c r="A21" t="s">
        <v>270</v>
      </c>
      <c r="B21" s="66">
        <f>IFERROR(B16*D16/D17,0)</f>
        <v>0.61667419792137368</v>
      </c>
    </row>
    <row r="22" spans="1:8" ht="15" customHeight="1" x14ac:dyDescent="0.3">
      <c r="A22" t="s">
        <v>271</v>
      </c>
      <c r="B22" s="66">
        <f>IFERROR(B16*MAX(0,C16-B10)*B11/D17,0)</f>
        <v>0.5490284681427926</v>
      </c>
    </row>
    <row r="23" spans="1:8" ht="15" customHeight="1" x14ac:dyDescent="0.3">
      <c r="A23" t="s">
        <v>272</v>
      </c>
      <c r="B23" s="67" t="str">
        <f>IF(D17=0,"Chưa điền",IF(B21&gt;0.5,"Trên 50% doanh thu đến từ khách dùng nhiều: xem tình huống đặc biệt ở trang 5","Đạt"))</f>
        <v>Trên 50% doanh thu đến từ khách dùng nhiều: xem tình huống đặc biệt ở trang 5</v>
      </c>
    </row>
    <row r="25" spans="1:8" ht="15" customHeight="1" x14ac:dyDescent="0.3">
      <c r="A25" s="15" t="s">
        <v>273</v>
      </c>
    </row>
    <row r="26" spans="1:8" ht="15" customHeight="1" x14ac:dyDescent="0.3">
      <c r="A26" s="31" t="s">
        <v>274</v>
      </c>
      <c r="B26" s="32">
        <v>4500000</v>
      </c>
      <c r="C26" s="31" t="s">
        <v>253</v>
      </c>
      <c r="D26" s="45" t="s">
        <v>275</v>
      </c>
    </row>
    <row r="27" spans="1:8" ht="15" customHeight="1" x14ac:dyDescent="0.3">
      <c r="A27" s="31" t="s">
        <v>276</v>
      </c>
      <c r="B27" s="68">
        <v>0</v>
      </c>
      <c r="C27" s="31" t="s">
        <v>277</v>
      </c>
      <c r="D27" s="45" t="s">
        <v>278</v>
      </c>
    </row>
    <row r="28" spans="1:8" ht="45" customHeight="1" x14ac:dyDescent="0.3">
      <c r="A28" s="24" t="s">
        <v>255</v>
      </c>
      <c r="B28" s="24" t="s">
        <v>279</v>
      </c>
      <c r="C28" s="24" t="s">
        <v>280</v>
      </c>
      <c r="D28" s="24" t="s">
        <v>281</v>
      </c>
      <c r="E28" s="24" t="s">
        <v>282</v>
      </c>
      <c r="F28" s="24" t="s">
        <v>283</v>
      </c>
    </row>
    <row r="29" spans="1:8" ht="30" customHeight="1" x14ac:dyDescent="0.3">
      <c r="A29" s="31" t="s">
        <v>263</v>
      </c>
      <c r="B29" s="33">
        <f>D15</f>
        <v>499000</v>
      </c>
      <c r="C29" s="37">
        <f>IFERROR(B29/$B$26,"")</f>
        <v>0.11088888888888888</v>
      </c>
      <c r="D29" s="69" t="str">
        <f>IF(C29="","",IF(C29&lt;0.5,"Dưới 50%: còn dư địa",IF(C29&lt;=0.7,"Trong vùng 50–70%","Trên 70%: khách thà thuê người? Xem dòng 34")))</f>
        <v>Dưới 50%: còn dư địa</v>
      </c>
      <c r="E29" s="70">
        <f>IFERROR(E15/B29,"")</f>
        <v>0.24842645290581164</v>
      </c>
      <c r="F29" s="36" t="str">
        <f>IF(E29="","",IF(E29&lt;0.3,"Ổn (dưới 0,3)",IF(E29&lt;=0.6,"Đáng lo (0,3–0,6)","Nguy (trên 0,6)")))</f>
        <v>Ổn (dưới 0,3)</v>
      </c>
    </row>
    <row r="30" spans="1:8" ht="30" customHeight="1" x14ac:dyDescent="0.3">
      <c r="A30" s="31" t="s">
        <v>284</v>
      </c>
      <c r="B30" s="33">
        <f>D16</f>
        <v>4549000</v>
      </c>
      <c r="C30" s="37">
        <f>IFERROR(B30/$B$26,"")</f>
        <v>1.0108888888888889</v>
      </c>
      <c r="D30" s="69" t="str">
        <f>IF(C30="","",IF(C30&lt;0.5,"Dưới 50%: còn dư địa",IF(C30&lt;=0.7,"Trong vùng 50–70%","Trên 70%: khách thà thuê người? Xem dòng 34")))</f>
        <v>Trên 70%: khách thà thuê người? Xem dòng 34</v>
      </c>
      <c r="E30" s="70">
        <f>IFERROR(E16/B30,"")</f>
        <v>0.27251000219828536</v>
      </c>
      <c r="F30" s="36" t="str">
        <f>IF(E30="","",IF(E30&lt;0.3,"Ổn (dưới 0,3)",IF(E30&lt;=0.6,"Đáng lo (0,3–0,6)","Nguy (trên 0,6)")))</f>
        <v>Ổn (dưới 0,3)</v>
      </c>
    </row>
    <row r="31" spans="1:8" ht="30" customHeight="1" x14ac:dyDescent="0.3">
      <c r="A31" s="31" t="s">
        <v>285</v>
      </c>
      <c r="B31" s="33">
        <f>G16</f>
        <v>499000</v>
      </c>
      <c r="C31" s="37">
        <f>IFERROR(B31/$B$26,"")</f>
        <v>0.11088888888888888</v>
      </c>
      <c r="D31" s="69" t="str">
        <f>IF(C31="","",IF(C31&lt;0.5,"Dưới 50%: còn dư địa",IF(C31&lt;=0.7,"Trong vùng 50–70%","Trên 70%: khách thà thuê người? Xem dòng 34")))</f>
        <v>Dưới 50%: còn dư địa</v>
      </c>
      <c r="E31" s="70">
        <f>IFERROR(E16/B31,"")</f>
        <v>2.484264529058116</v>
      </c>
      <c r="F31" s="36" t="str">
        <f>IF(E31="","",IF(E31&lt;0.3,"Ổn (dưới 0,3)",IF(E31&lt;=0.6,"Đáng lo (0,3–0,6)","Nguy (trên 0,6)")))</f>
        <v>Nguy (trên 0,6)</v>
      </c>
    </row>
    <row r="32" spans="1:8" ht="15" customHeight="1" x14ac:dyDescent="0.3">
      <c r="A32" s="34" t="s">
        <v>286</v>
      </c>
      <c r="B32" s="71">
        <f>IFERROR((D17*(1-B27)-E17)/D17,"")</f>
        <v>0.73672184365115223</v>
      </c>
      <c r="C32" s="36" t="str">
        <f>IF(B32="","",IF(B32&gt;0.5,"Ổn",IF(B32&gt;=0.35,"Đáng lo","Nguy")))</f>
        <v>Ổn</v>
      </c>
      <c r="D32" s="57" t="s">
        <v>287</v>
      </c>
    </row>
    <row r="33" spans="1:9" ht="30" customHeight="1" x14ac:dyDescent="0.3">
      <c r="A33" s="11" t="s">
        <v>288</v>
      </c>
      <c r="B33" s="11"/>
      <c r="C33" s="11"/>
      <c r="D33" s="11"/>
      <c r="E33" s="11"/>
      <c r="F33" s="11"/>
      <c r="G33" s="11"/>
      <c r="H33" s="11"/>
      <c r="I33" s="11"/>
    </row>
    <row r="34" spans="1:9" ht="30" customHeight="1" x14ac:dyDescent="0.3">
      <c r="A34" s="11" t="s">
        <v>289</v>
      </c>
      <c r="B34" s="11"/>
      <c r="C34" s="11"/>
      <c r="D34" s="11"/>
      <c r="E34" s="11"/>
      <c r="F34" s="11"/>
      <c r="G34" s="11"/>
      <c r="H34" s="11"/>
      <c r="I34" s="11"/>
    </row>
    <row r="35" spans="1:9" ht="15" customHeight="1" x14ac:dyDescent="0.3">
      <c r="A35" s="15" t="s">
        <v>290</v>
      </c>
    </row>
    <row r="36" spans="1:9" ht="15" customHeight="1" x14ac:dyDescent="0.3">
      <c r="A36" s="31" t="s">
        <v>291</v>
      </c>
      <c r="B36" s="11" t="s">
        <v>292</v>
      </c>
      <c r="C36" s="11"/>
      <c r="D36" s="11"/>
      <c r="E36" s="11"/>
      <c r="F36" s="11"/>
      <c r="G36" s="11"/>
      <c r="H36" s="11"/>
      <c r="I36" s="11"/>
    </row>
    <row r="37" spans="1:9" ht="30" customHeight="1" x14ac:dyDescent="0.3">
      <c r="A37" s="31" t="s">
        <v>293</v>
      </c>
      <c r="B37" s="11" t="s">
        <v>294</v>
      </c>
      <c r="C37" s="11"/>
      <c r="D37" s="11"/>
      <c r="E37" s="11"/>
      <c r="F37" s="11"/>
      <c r="G37" s="11"/>
      <c r="H37" s="11"/>
      <c r="I37" s="11"/>
    </row>
    <row r="38" spans="1:9" ht="15" customHeight="1" x14ac:dyDescent="0.3">
      <c r="A38" s="31" t="s">
        <v>295</v>
      </c>
      <c r="B38" s="11" t="s">
        <v>296</v>
      </c>
      <c r="C38" s="11"/>
      <c r="D38" s="11"/>
      <c r="E38" s="11"/>
      <c r="F38" s="11"/>
      <c r="G38" s="11"/>
      <c r="H38" s="11"/>
      <c r="I38" s="11"/>
    </row>
    <row r="39" spans="1:9" ht="15" customHeight="1" x14ac:dyDescent="0.3">
      <c r="A39" s="31" t="s">
        <v>297</v>
      </c>
      <c r="B39" s="11" t="s">
        <v>298</v>
      </c>
      <c r="C39" s="11"/>
      <c r="D39" s="11"/>
      <c r="E39" s="11"/>
      <c r="F39" s="11"/>
      <c r="G39" s="11"/>
      <c r="H39" s="11"/>
      <c r="I39" s="11"/>
    </row>
    <row r="40" spans="1:9" ht="15" customHeight="1" x14ac:dyDescent="0.3">
      <c r="A40" s="31" t="s">
        <v>299</v>
      </c>
      <c r="B40" s="11" t="s">
        <v>300</v>
      </c>
      <c r="C40" s="11"/>
      <c r="D40" s="11"/>
      <c r="E40" s="11"/>
      <c r="F40" s="11"/>
      <c r="G40" s="11"/>
      <c r="H40" s="11"/>
      <c r="I40" s="11"/>
    </row>
  </sheetData>
  <sheetProtection sheet="1" formatColumns="0" formatRows="0"/>
  <mergeCells count="7">
    <mergeCell ref="B39:I39"/>
    <mergeCell ref="B40:I40"/>
    <mergeCell ref="A33:I33"/>
    <mergeCell ref="A34:I34"/>
    <mergeCell ref="B36:I36"/>
    <mergeCell ref="B37:I37"/>
    <mergeCell ref="B38:I38"/>
  </mergeCells>
  <dataValidations count="2">
    <dataValidation type="list" allowBlank="1" sqref="B6" xr:uid="{00000000-0002-0000-0400-000000000000}">
      <formula1>"Theo người dùng,Theo lượt dùng,Theo kết quả,Kết hợp (phí cố định + vượt hạn mức)"</formula1>
      <formula2>0</formula2>
    </dataValidation>
    <dataValidation type="decimal" allowBlank="1" showErrorMessage="1" error="Nhập tỷ lệ từ 0% đến 90%." sqref="B27" xr:uid="{00000000-0002-0000-0400-000001000000}">
      <formula1>0</formula1>
      <formula2>0.9</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2"/>
  <sheetViews>
    <sheetView zoomScaleNormal="100" workbookViewId="0"/>
  </sheetViews>
  <sheetFormatPr defaultColWidth="8.6640625" defaultRowHeight="14.4" x14ac:dyDescent="0.3"/>
  <cols>
    <col min="1" max="1" width="44" customWidth="1"/>
    <col min="2" max="4" width="18" customWidth="1"/>
    <col min="5" max="5" width="14" customWidth="1"/>
    <col min="6" max="6" width="50" customWidth="1"/>
    <col min="7" max="7" width="56" customWidth="1"/>
  </cols>
  <sheetData>
    <row r="1" spans="1:7" ht="17.25" customHeight="1" x14ac:dyDescent="0.3">
      <c r="A1" s="12" t="s">
        <v>301</v>
      </c>
    </row>
    <row r="2" spans="1:7" ht="15" customHeight="1" x14ac:dyDescent="0.3">
      <c r="A2" s="19" t="s">
        <v>302</v>
      </c>
    </row>
    <row r="4" spans="1:7" ht="15" customHeight="1" x14ac:dyDescent="0.3">
      <c r="A4" s="24" t="s">
        <v>303</v>
      </c>
      <c r="B4" s="24" t="s">
        <v>304</v>
      </c>
      <c r="C4" s="24" t="s">
        <v>305</v>
      </c>
      <c r="D4" s="24" t="s">
        <v>306</v>
      </c>
      <c r="E4" s="24" t="s">
        <v>163</v>
      </c>
      <c r="F4" s="24" t="s">
        <v>164</v>
      </c>
      <c r="G4" s="24" t="s">
        <v>307</v>
      </c>
    </row>
    <row r="5" spans="1:7" ht="31.5" customHeight="1" x14ac:dyDescent="0.3">
      <c r="A5" s="72" t="s">
        <v>308</v>
      </c>
      <c r="B5" s="73">
        <v>1.1000000000000001</v>
      </c>
      <c r="C5" s="73">
        <v>1</v>
      </c>
      <c r="D5" s="73">
        <v>0.8</v>
      </c>
      <c r="E5" s="48" t="s">
        <v>309</v>
      </c>
      <c r="F5" s="74" t="s">
        <v>310</v>
      </c>
      <c r="G5" s="50" t="s">
        <v>311</v>
      </c>
    </row>
    <row r="6" spans="1:7" ht="31.5" customHeight="1" x14ac:dyDescent="0.3">
      <c r="A6" s="72" t="s">
        <v>312</v>
      </c>
      <c r="B6" s="73">
        <v>0.9</v>
      </c>
      <c r="C6" s="73">
        <v>1</v>
      </c>
      <c r="D6" s="73">
        <v>1.2</v>
      </c>
      <c r="E6" s="48" t="s">
        <v>309</v>
      </c>
      <c r="F6" s="74" t="s">
        <v>313</v>
      </c>
      <c r="G6" s="50" t="s">
        <v>314</v>
      </c>
    </row>
    <row r="7" spans="1:7" ht="31.5" customHeight="1" x14ac:dyDescent="0.3">
      <c r="A7" s="72" t="s">
        <v>315</v>
      </c>
      <c r="B7" s="75">
        <v>40</v>
      </c>
      <c r="C7" s="75">
        <v>30</v>
      </c>
      <c r="D7" s="75">
        <v>15</v>
      </c>
      <c r="E7" s="48" t="s">
        <v>316</v>
      </c>
      <c r="F7" s="74" t="s">
        <v>317</v>
      </c>
      <c r="G7" s="50" t="s">
        <v>318</v>
      </c>
    </row>
    <row r="8" spans="1:7" ht="46.5" customHeight="1" x14ac:dyDescent="0.3">
      <c r="A8" s="72" t="s">
        <v>319</v>
      </c>
      <c r="B8" s="52">
        <v>0.08</v>
      </c>
      <c r="C8" s="52">
        <v>0.05</v>
      </c>
      <c r="D8" s="52">
        <v>0.02</v>
      </c>
      <c r="E8" s="48" t="s">
        <v>192</v>
      </c>
      <c r="F8" s="74" t="s">
        <v>320</v>
      </c>
      <c r="G8" s="50" t="s">
        <v>321</v>
      </c>
    </row>
    <row r="9" spans="1:7" ht="30" customHeight="1" x14ac:dyDescent="0.3">
      <c r="A9" s="72" t="s">
        <v>322</v>
      </c>
      <c r="B9" s="52">
        <v>0.03</v>
      </c>
      <c r="C9" s="52">
        <v>0.05</v>
      </c>
      <c r="D9" s="52">
        <v>0.08</v>
      </c>
      <c r="E9" s="48" t="s">
        <v>192</v>
      </c>
      <c r="F9" s="74" t="s">
        <v>323</v>
      </c>
      <c r="G9" s="50" t="s">
        <v>324</v>
      </c>
    </row>
    <row r="10" spans="1:7" ht="31.5" customHeight="1" x14ac:dyDescent="0.3">
      <c r="A10" s="72" t="s">
        <v>325</v>
      </c>
      <c r="B10" s="76">
        <v>1200000</v>
      </c>
      <c r="C10" s="76">
        <v>1500000</v>
      </c>
      <c r="D10" s="76">
        <v>2300000</v>
      </c>
      <c r="E10" s="48" t="s">
        <v>326</v>
      </c>
      <c r="F10" s="74" t="s">
        <v>327</v>
      </c>
      <c r="G10" s="50" t="s">
        <v>328</v>
      </c>
    </row>
    <row r="11" spans="1:7" ht="46.5" customHeight="1" x14ac:dyDescent="0.3">
      <c r="A11" s="72" t="s">
        <v>329</v>
      </c>
      <c r="B11" s="76">
        <v>150000000</v>
      </c>
      <c r="C11" s="76">
        <v>150000000</v>
      </c>
      <c r="D11" s="76">
        <v>150000000</v>
      </c>
      <c r="E11" s="48" t="s">
        <v>253</v>
      </c>
      <c r="F11" s="74" t="s">
        <v>330</v>
      </c>
      <c r="G11" s="23" t="s">
        <v>331</v>
      </c>
    </row>
    <row r="12" spans="1:7" ht="76.5" customHeight="1" x14ac:dyDescent="0.3">
      <c r="A12" s="21" t="s">
        <v>332</v>
      </c>
      <c r="B12" s="76">
        <v>600000000</v>
      </c>
      <c r="C12" s="76">
        <v>600000000</v>
      </c>
      <c r="D12" s="76">
        <v>600000000</v>
      </c>
      <c r="E12" s="48" t="s">
        <v>196</v>
      </c>
      <c r="F12" s="59" t="s">
        <v>333</v>
      </c>
      <c r="G12" s="23" t="s">
        <v>334</v>
      </c>
    </row>
    <row r="13" spans="1:7" ht="31.5" customHeight="1" x14ac:dyDescent="0.3">
      <c r="A13" s="72" t="s">
        <v>335</v>
      </c>
      <c r="B13" s="76">
        <v>2000000000</v>
      </c>
      <c r="C13" s="76">
        <v>2000000000</v>
      </c>
      <c r="D13" s="76">
        <v>2000000000</v>
      </c>
      <c r="E13" s="48" t="s">
        <v>196</v>
      </c>
      <c r="F13" s="74" t="s">
        <v>336</v>
      </c>
      <c r="G13" s="50" t="s">
        <v>337</v>
      </c>
    </row>
    <row r="14" spans="1:7" ht="15.75" customHeight="1" x14ac:dyDescent="0.3">
      <c r="A14" s="46" t="s">
        <v>338</v>
      </c>
      <c r="B14" s="52">
        <v>0.15</v>
      </c>
      <c r="C14" s="52">
        <v>0.15</v>
      </c>
      <c r="D14" s="52">
        <v>0.15</v>
      </c>
      <c r="E14" s="48" t="s">
        <v>192</v>
      </c>
      <c r="F14" s="77" t="s">
        <v>339</v>
      </c>
      <c r="G14" s="50" t="s">
        <v>340</v>
      </c>
    </row>
    <row r="16" spans="1:7" ht="15" customHeight="1" x14ac:dyDescent="0.3">
      <c r="A16" s="15" t="s">
        <v>341</v>
      </c>
    </row>
    <row r="17" spans="1:4" ht="15" customHeight="1" x14ac:dyDescent="0.3">
      <c r="A17" s="53" t="s">
        <v>342</v>
      </c>
      <c r="B17" s="54">
        <f>'2_Định giá'!D17*B5*(1-'2_Định giá'!$B$27)</f>
        <v>1217150</v>
      </c>
      <c r="C17" s="54">
        <f>'2_Định giá'!D17*C5*(1-'2_Định giá'!$B$27)</f>
        <v>1106500</v>
      </c>
      <c r="D17" s="54">
        <f>'2_Định giá'!D17*D5*(1-'2_Định giá'!$B$27)</f>
        <v>885200</v>
      </c>
    </row>
    <row r="18" spans="1:4" ht="15" customHeight="1" x14ac:dyDescent="0.3">
      <c r="A18" s="53" t="s">
        <v>343</v>
      </c>
      <c r="B18" s="54">
        <f>'2_Định giá'!E17*B6</f>
        <v>262185.55199999997</v>
      </c>
      <c r="C18" s="54">
        <f>'2_Định giá'!E17*C6</f>
        <v>291317.27999999997</v>
      </c>
      <c r="D18" s="54">
        <f>'2_Định giá'!E17*D6</f>
        <v>349580.73599999998</v>
      </c>
    </row>
    <row r="19" spans="1:4" ht="15" customHeight="1" x14ac:dyDescent="0.3">
      <c r="A19" s="57" t="s">
        <v>344</v>
      </c>
    </row>
    <row r="20" spans="1:4" ht="15" customHeight="1" x14ac:dyDescent="0.3">
      <c r="A20" s="15" t="s">
        <v>345</v>
      </c>
    </row>
    <row r="21" spans="1:4" ht="15" customHeight="1" x14ac:dyDescent="0.3">
      <c r="A21" t="s">
        <v>346</v>
      </c>
      <c r="B21" s="67" t="str">
        <f>IF(C9=0,"Chưa điền",IF(D9&gt;=1.5*C9,"Đạt","Chưa đủ sốc"))</f>
        <v>Đạt</v>
      </c>
    </row>
    <row r="22" spans="1:4" ht="15" customHeight="1" x14ac:dyDescent="0.3">
      <c r="A22" t="s">
        <v>347</v>
      </c>
      <c r="B22" s="67" t="str">
        <f>IF(C10=0,"Chưa điền",IF(D10&gt;=1.5*C10,"Đạt","Chưa đủ sốc"))</f>
        <v>Đạt</v>
      </c>
    </row>
  </sheetData>
  <sheetProtection sheet="1" formatColumns="0" formatRows="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zoomScaleNormal="100" workbookViewId="0"/>
  </sheetViews>
  <sheetFormatPr defaultColWidth="8.6640625" defaultRowHeight="14.4" x14ac:dyDescent="0.3"/>
  <cols>
    <col min="1" max="1" width="40" customWidth="1"/>
    <col min="2" max="4" width="18" customWidth="1"/>
    <col min="5" max="5" width="20" customWidth="1"/>
  </cols>
  <sheetData>
    <row r="1" spans="1:5" ht="17.25" customHeight="1" x14ac:dyDescent="0.3">
      <c r="A1" s="12" t="s">
        <v>348</v>
      </c>
    </row>
    <row r="2" spans="1:5" ht="15" customHeight="1" x14ac:dyDescent="0.3">
      <c r="A2" s="19" t="s">
        <v>349</v>
      </c>
    </row>
    <row r="4" spans="1:5" ht="15" customHeight="1" x14ac:dyDescent="0.3">
      <c r="A4" s="24" t="s">
        <v>350</v>
      </c>
      <c r="B4" s="24" t="s">
        <v>304</v>
      </c>
      <c r="C4" s="24" t="s">
        <v>305</v>
      </c>
      <c r="D4" s="24" t="s">
        <v>306</v>
      </c>
      <c r="E4" s="24" t="s">
        <v>351</v>
      </c>
    </row>
    <row r="5" spans="1:5" ht="15" customHeight="1" x14ac:dyDescent="0.3">
      <c r="A5" s="53" t="s">
        <v>342</v>
      </c>
      <c r="B5" s="54">
        <f>'3_Giả định'!B17</f>
        <v>1217150</v>
      </c>
      <c r="C5" s="54">
        <f>'3_Giả định'!C17</f>
        <v>1106500</v>
      </c>
      <c r="D5" s="54">
        <f>'3_Giả định'!D17</f>
        <v>885200</v>
      </c>
    </row>
    <row r="6" spans="1:5" ht="15" customHeight="1" x14ac:dyDescent="0.3">
      <c r="A6" s="53" t="s">
        <v>352</v>
      </c>
      <c r="B6" s="54">
        <f>'3_Giả định'!B17-'3_Giả định'!B18</f>
        <v>954964.44800000009</v>
      </c>
      <c r="C6" s="54">
        <f>'3_Giả định'!C17-'3_Giả định'!C18</f>
        <v>815182.72</v>
      </c>
      <c r="D6" s="54">
        <f>'3_Giả định'!D17-'3_Giả định'!D18</f>
        <v>535619.26399999997</v>
      </c>
    </row>
    <row r="7" spans="1:5" ht="15" customHeight="1" x14ac:dyDescent="0.3">
      <c r="A7" s="53" t="s">
        <v>99</v>
      </c>
      <c r="B7" s="56">
        <f>IFERROR(B6/B5,0)</f>
        <v>0.78459059935094289</v>
      </c>
      <c r="C7" s="56">
        <f>IFERROR(C6/C5,0)</f>
        <v>0.73672184365115223</v>
      </c>
      <c r="D7" s="56">
        <f>IFERROR(D6/D5,0)</f>
        <v>0.60508276547672835</v>
      </c>
      <c r="E7" t="s">
        <v>353</v>
      </c>
    </row>
    <row r="8" spans="1:5" ht="15" customHeight="1" x14ac:dyDescent="0.3">
      <c r="A8" s="53" t="s">
        <v>354</v>
      </c>
      <c r="B8" s="78">
        <f>IFERROR(1/'3_Giả định'!B9,0)</f>
        <v>33.333333333333336</v>
      </c>
      <c r="C8" s="78">
        <f>IFERROR(1/'3_Giả định'!C9,0)</f>
        <v>20</v>
      </c>
      <c r="D8" s="78">
        <f>IFERROR(1/'3_Giả định'!D9,0)</f>
        <v>12.5</v>
      </c>
    </row>
    <row r="9" spans="1:5" ht="15" customHeight="1" x14ac:dyDescent="0.3">
      <c r="A9" s="53" t="s">
        <v>355</v>
      </c>
      <c r="B9" s="54">
        <f>B6*B8</f>
        <v>31832148.266666673</v>
      </c>
      <c r="C9" s="54">
        <f>C6*C8</f>
        <v>16303654.399999999</v>
      </c>
      <c r="D9" s="54">
        <f>D6*D8</f>
        <v>6695240.7999999998</v>
      </c>
    </row>
    <row r="10" spans="1:5" ht="15" customHeight="1" x14ac:dyDescent="0.3">
      <c r="A10" s="53" t="s">
        <v>356</v>
      </c>
      <c r="B10" s="54">
        <f>'3_Giả định'!B10</f>
        <v>1200000</v>
      </c>
      <c r="C10" s="54">
        <f>'3_Giả định'!C10</f>
        <v>1500000</v>
      </c>
      <c r="D10" s="54">
        <f>'3_Giả định'!D10</f>
        <v>2300000</v>
      </c>
    </row>
    <row r="11" spans="1:5" ht="15" customHeight="1" x14ac:dyDescent="0.3">
      <c r="A11" s="53" t="s">
        <v>357</v>
      </c>
      <c r="B11" s="79">
        <f>IFERROR(B9/B10,0)</f>
        <v>26.526790222222228</v>
      </c>
      <c r="C11" s="79">
        <f>IFERROR(C9/C10,0)</f>
        <v>10.869102933333332</v>
      </c>
      <c r="D11" s="79">
        <f>IFERROR(D9/D10,0)</f>
        <v>2.910974260869565</v>
      </c>
      <c r="E11" s="14" t="s">
        <v>358</v>
      </c>
    </row>
    <row r="12" spans="1:5" ht="15" customHeight="1" x14ac:dyDescent="0.3">
      <c r="A12" s="53" t="s">
        <v>359</v>
      </c>
      <c r="B12" s="78">
        <f>IFERROR(B10/B6,0)</f>
        <v>1.2565912820243543</v>
      </c>
      <c r="C12" s="78">
        <f>IFERROR(C10/C6,0)</f>
        <v>1.8400782587736895</v>
      </c>
      <c r="D12" s="78">
        <f>IFERROR(D10/D6,0)</f>
        <v>4.2940949935661763</v>
      </c>
      <c r="E12" t="s">
        <v>360</v>
      </c>
    </row>
    <row r="13" spans="1:5" ht="15" customHeight="1" x14ac:dyDescent="0.3">
      <c r="A13" s="53" t="s">
        <v>361</v>
      </c>
      <c r="B13" s="80" t="str">
        <f>IF(B5&lt;=0,"Chưa điền trang 2–3",IF(B6&lt;=0,"Lỗ trên từng khách",IF(AND(B11&gt;3,B12&lt;12,B7&gt;=0.6),"Khỏe",IF(B11&gt;=1,"Cần cải thiện","Đốt tiền"))))</f>
        <v>Khỏe</v>
      </c>
      <c r="C13" s="80" t="str">
        <f>IF(C5&lt;=0,"Chưa điền trang 2–3",IF(C6&lt;=0,"Lỗ trên từng khách",IF(AND(C11&gt;3,C12&lt;12,C7&gt;=0.6),"Khỏe",IF(C11&gt;=1,"Cần cải thiện","Đốt tiền"))))</f>
        <v>Khỏe</v>
      </c>
      <c r="D13" s="80" t="str">
        <f>IF(D5&lt;=0,"Chưa điền trang 2–3",IF(D6&lt;=0,"Lỗ trên từng khách",IF(AND(D11&gt;3,D12&lt;12,D7&gt;=0.6),"Khỏe",IF(D11&gt;=1,"Cần cải thiện","Đốt tiền"))))</f>
        <v>Cần cải thiện</v>
      </c>
    </row>
  </sheetData>
  <sheetProtection sheet="1" formatColumns="0" formatRows="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45"/>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6640625" defaultRowHeight="14.4" outlineLevelRow="1" x14ac:dyDescent="0.3"/>
  <cols>
    <col min="1" max="1" width="38" customWidth="1"/>
    <col min="2" max="26" width="18" customWidth="1"/>
  </cols>
  <sheetData>
    <row r="1" spans="1:26" ht="17.25" customHeight="1" x14ac:dyDescent="0.3">
      <c r="A1" s="12" t="s">
        <v>362</v>
      </c>
    </row>
    <row r="2" spans="1:26" ht="15" customHeight="1" x14ac:dyDescent="0.3">
      <c r="A2" s="19" t="s">
        <v>363</v>
      </c>
    </row>
    <row r="4" spans="1:26" ht="15" customHeight="1" x14ac:dyDescent="0.3">
      <c r="A4" s="24" t="s">
        <v>364</v>
      </c>
      <c r="B4" s="24" t="s">
        <v>365</v>
      </c>
      <c r="C4" s="24" t="s">
        <v>366</v>
      </c>
      <c r="D4" s="24" t="s">
        <v>367</v>
      </c>
      <c r="E4" s="24" t="s">
        <v>368</v>
      </c>
      <c r="F4" s="24" t="s">
        <v>369</v>
      </c>
      <c r="G4" s="24" t="s">
        <v>370</v>
      </c>
      <c r="H4" s="24" t="s">
        <v>371</v>
      </c>
      <c r="I4" s="24" t="s">
        <v>372</v>
      </c>
      <c r="J4" s="24" t="s">
        <v>373</v>
      </c>
      <c r="K4" s="24" t="s">
        <v>374</v>
      </c>
      <c r="L4" s="24" t="s">
        <v>375</v>
      </c>
      <c r="M4" s="24" t="s">
        <v>376</v>
      </c>
      <c r="N4" s="24" t="s">
        <v>377</v>
      </c>
      <c r="O4" s="24" t="s">
        <v>378</v>
      </c>
      <c r="P4" s="24" t="s">
        <v>379</v>
      </c>
      <c r="Q4" s="24" t="s">
        <v>380</v>
      </c>
      <c r="R4" s="24" t="s">
        <v>381</v>
      </c>
      <c r="S4" s="24" t="s">
        <v>382</v>
      </c>
      <c r="T4" s="24" t="s">
        <v>383</v>
      </c>
      <c r="U4" s="24" t="s">
        <v>384</v>
      </c>
      <c r="V4" s="24" t="s">
        <v>385</v>
      </c>
      <c r="W4" s="24" t="s">
        <v>386</v>
      </c>
      <c r="X4" s="24" t="s">
        <v>387</v>
      </c>
      <c r="Y4" s="24" t="s">
        <v>388</v>
      </c>
      <c r="Z4" s="24" t="s">
        <v>389</v>
      </c>
    </row>
    <row r="5" spans="1:26" ht="15" customHeight="1" x14ac:dyDescent="0.3">
      <c r="A5" s="81" t="s">
        <v>390</v>
      </c>
    </row>
    <row r="6" spans="1:26" ht="15" customHeight="1" x14ac:dyDescent="0.3">
      <c r="A6" s="53" t="s">
        <v>391</v>
      </c>
      <c r="C6" s="82">
        <f>'3_Giả định'!$B$7*(1+'3_Giả định'!$B$8)^0</f>
        <v>40</v>
      </c>
      <c r="D6" s="82">
        <f>'3_Giả định'!$B$7*(1+'3_Giả định'!$B$8)^1</f>
        <v>43.2</v>
      </c>
      <c r="E6" s="82">
        <f>'3_Giả định'!$B$7*(1+'3_Giả định'!$B$8)^2</f>
        <v>46.656000000000006</v>
      </c>
      <c r="F6" s="82">
        <f>'3_Giả định'!$B$7*(1+'3_Giả định'!$B$8)^3</f>
        <v>50.388480000000008</v>
      </c>
      <c r="G6" s="82">
        <f>'3_Giả định'!$B$7*(1+'3_Giả định'!$B$8)^4</f>
        <v>54.419558400000014</v>
      </c>
      <c r="H6" s="82">
        <f>'3_Giả định'!$B$7*(1+'3_Giả định'!$B$8)^5</f>
        <v>58.773123072000011</v>
      </c>
      <c r="I6" s="82">
        <f>'3_Giả định'!$B$7*(1+'3_Giả định'!$B$8)^6</f>
        <v>63.47497291776002</v>
      </c>
      <c r="J6" s="82">
        <f>'3_Giả định'!$B$7*(1+'3_Giả định'!$B$8)^7</f>
        <v>68.552970751180823</v>
      </c>
      <c r="K6" s="82">
        <f>'3_Giả định'!$B$7*(1+'3_Giả định'!$B$8)^8</f>
        <v>74.037208411275287</v>
      </c>
      <c r="L6" s="82">
        <f>'3_Giả định'!$B$7*(1+'3_Giả định'!$B$8)^9</f>
        <v>79.960185084177326</v>
      </c>
      <c r="M6" s="82">
        <f>'3_Giả định'!$B$7*(1+'3_Giả định'!$B$8)^10</f>
        <v>86.35699989091151</v>
      </c>
      <c r="N6" s="82">
        <f>'3_Giả định'!$B$7*(1+'3_Giả định'!$B$8)^11</f>
        <v>93.265559882184434</v>
      </c>
      <c r="O6" s="82">
        <f>'3_Giả định'!$B$7*(1+'3_Giả định'!$B$8)^12</f>
        <v>100.72680467275919</v>
      </c>
      <c r="P6" s="82">
        <f>'3_Giả định'!$B$7*(1+'3_Giả định'!$B$8)^13</f>
        <v>108.78494904657992</v>
      </c>
      <c r="Q6" s="82">
        <f>'3_Giả định'!$B$7*(1+'3_Giả định'!$B$8)^14</f>
        <v>117.48774497030635</v>
      </c>
      <c r="R6" s="82">
        <f>'3_Giả định'!$B$7*(1+'3_Giả định'!$B$8)^15</f>
        <v>126.88676456793087</v>
      </c>
      <c r="S6" s="82">
        <f>'3_Giả định'!$B$7*(1+'3_Giả định'!$B$8)^16</f>
        <v>137.03770573336533</v>
      </c>
      <c r="T6" s="82">
        <f>'3_Giả định'!$B$7*(1+'3_Giả định'!$B$8)^17</f>
        <v>148.00072219203454</v>
      </c>
      <c r="U6" s="82">
        <f>'3_Giả định'!$B$7*(1+'3_Giả định'!$B$8)^18</f>
        <v>159.84077996739734</v>
      </c>
      <c r="V6" s="82">
        <f>'3_Giả định'!$B$7*(1+'3_Giả định'!$B$8)^19</f>
        <v>172.62804236478914</v>
      </c>
      <c r="W6" s="82">
        <f>'3_Giả định'!$B$7*(1+'3_Giả định'!$B$8)^20</f>
        <v>186.43828575397225</v>
      </c>
      <c r="X6" s="82">
        <f>'3_Giả định'!$B$7*(1+'3_Giả định'!$B$8)^21</f>
        <v>201.35334861429004</v>
      </c>
      <c r="Y6" s="82">
        <f>'3_Giả định'!$B$7*(1+'3_Giả định'!$B$8)^22</f>
        <v>217.46161650343328</v>
      </c>
      <c r="Z6" s="82">
        <f>'3_Giả định'!$B$7*(1+'3_Giả định'!$B$8)^23</f>
        <v>234.85854582370794</v>
      </c>
    </row>
    <row r="7" spans="1:26" ht="15" customHeight="1" x14ac:dyDescent="0.3">
      <c r="A7" s="53" t="s">
        <v>392</v>
      </c>
      <c r="B7">
        <v>0</v>
      </c>
      <c r="C7" s="82">
        <f>B7*(1-'3_Giả định'!$B$9)+C6</f>
        <v>40</v>
      </c>
      <c r="D7" s="82">
        <f>C7*(1-'3_Giả định'!$B$9)+D6</f>
        <v>82</v>
      </c>
      <c r="E7" s="82">
        <f>D7*(1-'3_Giả định'!$B$9)+E6</f>
        <v>126.196</v>
      </c>
      <c r="F7" s="82">
        <f>E7*(1-'3_Giả định'!$B$9)+F6</f>
        <v>172.79859999999999</v>
      </c>
      <c r="G7" s="82">
        <f>F7*(1-'3_Giả định'!$B$9)+G6</f>
        <v>222.03420039999997</v>
      </c>
      <c r="H7" s="82">
        <f>G7*(1-'3_Giả định'!$B$9)+H6</f>
        <v>274.14629745999997</v>
      </c>
      <c r="I7" s="82">
        <f>H7*(1-'3_Giả định'!$B$9)+I6</f>
        <v>329.39688145395996</v>
      </c>
      <c r="J7" s="82">
        <f>I7*(1-'3_Giả định'!$B$9)+J6</f>
        <v>388.06794576152197</v>
      </c>
      <c r="K7" s="82">
        <f>J7*(1-'3_Giả định'!$B$9)+K6</f>
        <v>450.46311579995159</v>
      </c>
      <c r="L7" s="82">
        <f>K7*(1-'3_Giả định'!$B$9)+L6</f>
        <v>516.90940741013037</v>
      </c>
      <c r="M7" s="82">
        <f>L7*(1-'3_Giả định'!$B$9)+M6</f>
        <v>587.75912507873795</v>
      </c>
      <c r="N7" s="82">
        <f>M7*(1-'3_Giả định'!$B$9)+N6</f>
        <v>663.39191120856026</v>
      </c>
      <c r="O7" s="82">
        <f>N7*(1-'3_Giả định'!$B$9)+O6</f>
        <v>744.21695854506254</v>
      </c>
      <c r="P7" s="82">
        <f>O7*(1-'3_Giả định'!$B$9)+P6</f>
        <v>830.67539883529048</v>
      </c>
      <c r="Q7" s="82">
        <f>P7*(1-'3_Giả định'!$B$9)+Q6</f>
        <v>923.24288184053808</v>
      </c>
      <c r="R7" s="82">
        <f>Q7*(1-'3_Giả định'!$B$9)+R6</f>
        <v>1022.4323599532528</v>
      </c>
      <c r="S7" s="82">
        <f>R7*(1-'3_Giả định'!$B$9)+S6</f>
        <v>1128.7970948880206</v>
      </c>
      <c r="T7" s="82">
        <f>S7*(1-'3_Giả định'!$B$9)+T6</f>
        <v>1242.9339042334145</v>
      </c>
      <c r="U7" s="82">
        <f>T7*(1-'3_Giả định'!$B$9)+U6</f>
        <v>1365.4866670738095</v>
      </c>
      <c r="V7" s="82">
        <f>U7*(1-'3_Giả định'!$B$9)+V6</f>
        <v>1497.1501094263842</v>
      </c>
      <c r="W7" s="82">
        <f>V7*(1-'3_Giả định'!$B$9)+W6</f>
        <v>1638.6738918975648</v>
      </c>
      <c r="X7" s="82">
        <f>W7*(1-'3_Giả định'!$B$9)+X6</f>
        <v>1790.8670237549279</v>
      </c>
      <c r="Y7" s="82">
        <f>X7*(1-'3_Giả định'!$B$9)+Y6</f>
        <v>1954.6026295457134</v>
      </c>
      <c r="Z7" s="82">
        <f>Y7*(1-'3_Giả định'!$B$9)+Z6</f>
        <v>2130.82309648305</v>
      </c>
    </row>
    <row r="8" spans="1:26" ht="15" customHeight="1" x14ac:dyDescent="0.3">
      <c r="A8" s="53" t="s">
        <v>89</v>
      </c>
      <c r="C8" s="83">
        <f>C7*'3_Giả định'!$B$17</f>
        <v>48686000</v>
      </c>
      <c r="D8" s="83">
        <f>D7*'3_Giả định'!$B$17</f>
        <v>99806300</v>
      </c>
      <c r="E8" s="83">
        <f>E7*'3_Giả định'!$B$17</f>
        <v>153599461.40000001</v>
      </c>
      <c r="F8" s="83">
        <f>F7*'3_Giả định'!$B$17</f>
        <v>210321815.98999998</v>
      </c>
      <c r="G8" s="83">
        <f>G7*'3_Giả định'!$B$17</f>
        <v>270248927.01685995</v>
      </c>
      <c r="H8" s="83">
        <f>H7*'3_Giả định'!$B$17</f>
        <v>333677165.95343894</v>
      </c>
      <c r="I8" s="83">
        <f>I7*'3_Giả định'!$B$17</f>
        <v>400925414.2616874</v>
      </c>
      <c r="J8" s="83">
        <f>J7*'3_Giả định'!$B$17</f>
        <v>472336900.18363649</v>
      </c>
      <c r="K8" s="83">
        <f>K7*'3_Giả định'!$B$17</f>
        <v>548281181.3959111</v>
      </c>
      <c r="L8" s="83">
        <f>L7*'3_Giả định'!$B$17</f>
        <v>629156285.22924018</v>
      </c>
      <c r="M8" s="83">
        <f>M7*'3_Giả định'!$B$17</f>
        <v>715391019.0895859</v>
      </c>
      <c r="N8" s="83">
        <f>N7*'3_Giả định'!$B$17</f>
        <v>807447464.72749913</v>
      </c>
      <c r="O8" s="83">
        <f>O7*'3_Giả định'!$B$17</f>
        <v>905823671.09312284</v>
      </c>
      <c r="P8" s="83">
        <f>P7*'3_Giả định'!$B$17</f>
        <v>1011056561.6923738</v>
      </c>
      <c r="Q8" s="83">
        <f>Q7*'3_Giả định'!$B$17</f>
        <v>1123725073.632211</v>
      </c>
      <c r="R8" s="83">
        <f>R7*'3_Giả định'!$B$17</f>
        <v>1244453546.9171016</v>
      </c>
      <c r="S8" s="83">
        <f>S7*'3_Giả định'!$B$17</f>
        <v>1373915384.0429542</v>
      </c>
      <c r="T8" s="83">
        <f>T7*'3_Giả định'!$B$17</f>
        <v>1512837001.5377004</v>
      </c>
      <c r="U8" s="83">
        <f>U7*'3_Giả định'!$B$17</f>
        <v>1662002096.8288872</v>
      </c>
      <c r="V8" s="83">
        <f>V7*'3_Giả định'!$B$17</f>
        <v>1822256255.6883235</v>
      </c>
      <c r="W8" s="83">
        <f>W7*'3_Giả định'!$B$17</f>
        <v>1994511927.5231209</v>
      </c>
      <c r="X8" s="83">
        <f>X7*'3_Giả định'!$B$17</f>
        <v>2179753797.9633107</v>
      </c>
      <c r="Y8" s="83">
        <f>Y7*'3_Giả định'!$B$17</f>
        <v>2379044590.5515652</v>
      </c>
      <c r="Z8" s="83">
        <f>Z7*'3_Giả định'!$B$17</f>
        <v>2593531331.8843441</v>
      </c>
    </row>
    <row r="9" spans="1:26" ht="15" customHeight="1" x14ac:dyDescent="0.3">
      <c r="A9" s="53" t="s">
        <v>393</v>
      </c>
      <c r="C9" s="83">
        <f>C7*'3_Giả định'!$B$18</f>
        <v>10487422.079999998</v>
      </c>
      <c r="D9" s="83">
        <f>D7*'3_Giả định'!$B$18</f>
        <v>21499215.263999999</v>
      </c>
      <c r="E9" s="83">
        <f>E7*'3_Giả định'!$B$18</f>
        <v>33086767.920191996</v>
      </c>
      <c r="F9" s="83">
        <f>F7*'3_Giả định'!$B$18</f>
        <v>45305296.325827196</v>
      </c>
      <c r="G9" s="83">
        <f>G7*'3_Giả định'!$B$18</f>
        <v>58214159.394752607</v>
      </c>
      <c r="H9" s="83">
        <f>H7*'3_Giả định'!$B$18</f>
        <v>71877198.328306288</v>
      </c>
      <c r="I9" s="83">
        <f>I7*'3_Giả định'!$B$18</f>
        <v>86363103.191085041</v>
      </c>
      <c r="J9" s="83">
        <f>J7*'3_Giả định'!$B$18</f>
        <v>101745808.57299069</v>
      </c>
      <c r="K9" s="83">
        <f>K7*'3_Giả định'!$B$18</f>
        <v>118104920.67165022</v>
      </c>
      <c r="L9" s="83">
        <f>L7*'3_Giả định'!$B$18</f>
        <v>135526178.31581789</v>
      </c>
      <c r="M9" s="83">
        <f>M7*'3_Giả định'!$B$18</f>
        <v>154101950.65180594</v>
      </c>
      <c r="N9" s="83">
        <f>N7*'3_Giả định'!$B$18</f>
        <v>173931774.43255132</v>
      </c>
      <c r="O9" s="83">
        <f>O7*'3_Giả định'!$B$18</f>
        <v>195122934.08389831</v>
      </c>
      <c r="P9" s="83">
        <f>P7*'3_Giả định'!$B$18</f>
        <v>217791087.97645077</v>
      </c>
      <c r="Q9" s="83">
        <f>Q7*'3_Giả định'!$B$18</f>
        <v>242060944.60543221</v>
      </c>
      <c r="R9" s="83">
        <f>R7*'3_Giả định'!$B$18</f>
        <v>268066992.67700624</v>
      </c>
      <c r="S9" s="83">
        <f>S7*'3_Giả định'!$B$18</f>
        <v>295954289.41921204</v>
      </c>
      <c r="T9" s="83">
        <f>T7*'3_Giả định'!$B$18</f>
        <v>325879311.78095287</v>
      </c>
      <c r="U9" s="83">
        <f>U7*'3_Giả định'!$B$18</f>
        <v>358010875.5553869</v>
      </c>
      <c r="V9" s="83">
        <f>V7*'3_Giả định'!$B$18</f>
        <v>392531127.86681688</v>
      </c>
      <c r="W9" s="83">
        <f>W7*'3_Giả định'!$B$18</f>
        <v>429636618.89515132</v>
      </c>
      <c r="X9" s="83">
        <f>X7*'3_Giả định'!$B$18</f>
        <v>469539459.18178284</v>
      </c>
      <c r="Y9" s="83">
        <f>Y7*'3_Giả định'!$B$18</f>
        <v>512468569.36809433</v>
      </c>
      <c r="Z9" s="83">
        <f>Z7*'3_Giả định'!$B$18</f>
        <v>558671029.76575768</v>
      </c>
    </row>
    <row r="10" spans="1:26" ht="15" customHeight="1" x14ac:dyDescent="0.3">
      <c r="A10" s="53" t="s">
        <v>91</v>
      </c>
      <c r="C10" s="83">
        <f t="shared" ref="C10:Z10" si="0">C8-C9</f>
        <v>38198577.920000002</v>
      </c>
      <c r="D10" s="83">
        <f t="shared" si="0"/>
        <v>78307084.736000001</v>
      </c>
      <c r="E10" s="83">
        <f t="shared" si="0"/>
        <v>120512693.479808</v>
      </c>
      <c r="F10" s="83">
        <f t="shared" si="0"/>
        <v>165016519.66417277</v>
      </c>
      <c r="G10" s="83">
        <f t="shared" si="0"/>
        <v>212034767.62210733</v>
      </c>
      <c r="H10" s="83">
        <f t="shared" si="0"/>
        <v>261799967.62513265</v>
      </c>
      <c r="I10" s="83">
        <f t="shared" si="0"/>
        <v>314562311.07060236</v>
      </c>
      <c r="J10" s="83">
        <f t="shared" si="0"/>
        <v>370591091.61064577</v>
      </c>
      <c r="K10" s="83">
        <f t="shared" si="0"/>
        <v>430176260.72426087</v>
      </c>
      <c r="L10" s="83">
        <f t="shared" si="0"/>
        <v>493630106.91342229</v>
      </c>
      <c r="M10" s="83">
        <f t="shared" si="0"/>
        <v>561289068.4377799</v>
      </c>
      <c r="N10" s="83">
        <f t="shared" si="0"/>
        <v>633515690.29494786</v>
      </c>
      <c r="O10" s="83">
        <f t="shared" si="0"/>
        <v>710700737.00922453</v>
      </c>
      <c r="P10" s="83">
        <f t="shared" si="0"/>
        <v>793265473.71592295</v>
      </c>
      <c r="Q10" s="83">
        <f t="shared" si="0"/>
        <v>881664129.0267787</v>
      </c>
      <c r="R10" s="83">
        <f t="shared" si="0"/>
        <v>976386554.24009538</v>
      </c>
      <c r="S10" s="83">
        <f t="shared" si="0"/>
        <v>1077961094.6237421</v>
      </c>
      <c r="T10" s="83">
        <f t="shared" si="0"/>
        <v>1186957689.7567475</v>
      </c>
      <c r="U10" s="83">
        <f t="shared" si="0"/>
        <v>1303991221.2735004</v>
      </c>
      <c r="V10" s="83">
        <f t="shared" si="0"/>
        <v>1429725127.8215065</v>
      </c>
      <c r="W10" s="83">
        <f t="shared" si="0"/>
        <v>1564875308.6279695</v>
      </c>
      <c r="X10" s="83">
        <f t="shared" si="0"/>
        <v>1710214338.781528</v>
      </c>
      <c r="Y10" s="83">
        <f t="shared" si="0"/>
        <v>1866576021.1834707</v>
      </c>
      <c r="Z10" s="83">
        <f t="shared" si="0"/>
        <v>2034860302.1185865</v>
      </c>
    </row>
    <row r="11" spans="1:26" ht="15" customHeight="1" x14ac:dyDescent="0.3">
      <c r="A11" s="53" t="s">
        <v>394</v>
      </c>
      <c r="C11" s="83">
        <f>C6*'3_Giả định'!$B$10</f>
        <v>48000000</v>
      </c>
      <c r="D11" s="83">
        <f>D6*'3_Giả định'!$B$10</f>
        <v>51840000</v>
      </c>
      <c r="E11" s="83">
        <f>E6*'3_Giả định'!$B$10</f>
        <v>55987200.000000007</v>
      </c>
      <c r="F11" s="83">
        <f>F6*'3_Giả định'!$B$10</f>
        <v>60466176.000000007</v>
      </c>
      <c r="G11" s="83">
        <f>G6*'3_Giả định'!$B$10</f>
        <v>65303470.080000013</v>
      </c>
      <c r="H11" s="83">
        <f>H6*'3_Giả định'!$B$10</f>
        <v>70527747.686400011</v>
      </c>
      <c r="I11" s="83">
        <f>I6*'3_Giả định'!$B$10</f>
        <v>76169967.501312017</v>
      </c>
      <c r="J11" s="83">
        <f>J6*'3_Giả định'!$B$10</f>
        <v>82263564.901416987</v>
      </c>
      <c r="K11" s="83">
        <f>K6*'3_Giả định'!$B$10</f>
        <v>88844650.093530342</v>
      </c>
      <c r="L11" s="83">
        <f>L6*'3_Giả định'!$B$10</f>
        <v>95952222.101012796</v>
      </c>
      <c r="M11" s="83">
        <f>M6*'3_Giả định'!$B$10</f>
        <v>103628399.86909381</v>
      </c>
      <c r="N11" s="83">
        <f>N6*'3_Giả định'!$B$10</f>
        <v>111918671.85862131</v>
      </c>
      <c r="O11" s="83">
        <f>O6*'3_Giả định'!$B$10</f>
        <v>120872165.60731103</v>
      </c>
      <c r="P11" s="83">
        <f>P6*'3_Giả định'!$B$10</f>
        <v>130541938.85589591</v>
      </c>
      <c r="Q11" s="83">
        <f>Q6*'3_Giả định'!$B$10</f>
        <v>140985293.96436763</v>
      </c>
      <c r="R11" s="83">
        <f>R6*'3_Giả định'!$B$10</f>
        <v>152264117.48151705</v>
      </c>
      <c r="S11" s="83">
        <f>S6*'3_Giả định'!$B$10</f>
        <v>164445246.88003838</v>
      </c>
      <c r="T11" s="83">
        <f>T6*'3_Giả định'!$B$10</f>
        <v>177600866.63044146</v>
      </c>
      <c r="U11" s="83">
        <f>U6*'3_Giả định'!$B$10</f>
        <v>191808935.96087679</v>
      </c>
      <c r="V11" s="83">
        <f>V6*'3_Giả định'!$B$10</f>
        <v>207153650.83774698</v>
      </c>
      <c r="W11" s="83">
        <f>W6*'3_Giả định'!$B$10</f>
        <v>223725942.90476671</v>
      </c>
      <c r="X11" s="83">
        <f>X6*'3_Giả định'!$B$10</f>
        <v>241624018.33714804</v>
      </c>
      <c r="Y11" s="83">
        <f>Y6*'3_Giả định'!$B$10</f>
        <v>260953939.80411994</v>
      </c>
      <c r="Z11" s="83">
        <f>Z6*'3_Giả định'!$B$10</f>
        <v>281830254.98844951</v>
      </c>
    </row>
    <row r="12" spans="1:26" ht="15" customHeight="1" x14ac:dyDescent="0.3">
      <c r="A12" s="53" t="s">
        <v>395</v>
      </c>
      <c r="C12" s="83">
        <f>'3_Giả định'!$B$11</f>
        <v>150000000</v>
      </c>
      <c r="D12" s="83">
        <f>'3_Giả định'!$B$11</f>
        <v>150000000</v>
      </c>
      <c r="E12" s="83">
        <f>'3_Giả định'!$B$11</f>
        <v>150000000</v>
      </c>
      <c r="F12" s="83">
        <f>'3_Giả định'!$B$11</f>
        <v>150000000</v>
      </c>
      <c r="G12" s="83">
        <f>'3_Giả định'!$B$11</f>
        <v>150000000</v>
      </c>
      <c r="H12" s="83">
        <f>'3_Giả định'!$B$11</f>
        <v>150000000</v>
      </c>
      <c r="I12" s="83">
        <f>'3_Giả định'!$B$11</f>
        <v>150000000</v>
      </c>
      <c r="J12" s="83">
        <f>'3_Giả định'!$B$11</f>
        <v>150000000</v>
      </c>
      <c r="K12" s="83">
        <f>'3_Giả định'!$B$11</f>
        <v>150000000</v>
      </c>
      <c r="L12" s="83">
        <f>'3_Giả định'!$B$11</f>
        <v>150000000</v>
      </c>
      <c r="M12" s="83">
        <f>'3_Giả định'!$B$11</f>
        <v>150000000</v>
      </c>
      <c r="N12" s="83">
        <f>'3_Giả định'!$B$11</f>
        <v>150000000</v>
      </c>
      <c r="O12" s="83">
        <f>'3_Giả định'!$B$11</f>
        <v>150000000</v>
      </c>
      <c r="P12" s="83">
        <f>'3_Giả định'!$B$11</f>
        <v>150000000</v>
      </c>
      <c r="Q12" s="83">
        <f>'3_Giả định'!$B$11</f>
        <v>150000000</v>
      </c>
      <c r="R12" s="83">
        <f>'3_Giả định'!$B$11</f>
        <v>150000000</v>
      </c>
      <c r="S12" s="83">
        <f>'3_Giả định'!$B$11</f>
        <v>150000000</v>
      </c>
      <c r="T12" s="83">
        <f>'3_Giả định'!$B$11</f>
        <v>150000000</v>
      </c>
      <c r="U12" s="83">
        <f>'3_Giả định'!$B$11</f>
        <v>150000000</v>
      </c>
      <c r="V12" s="83">
        <f>'3_Giả định'!$B$11</f>
        <v>150000000</v>
      </c>
      <c r="W12" s="83">
        <f>'3_Giả định'!$B$11</f>
        <v>150000000</v>
      </c>
      <c r="X12" s="83">
        <f>'3_Giả định'!$B$11</f>
        <v>150000000</v>
      </c>
      <c r="Y12" s="83">
        <f>'3_Giả định'!$B$11</f>
        <v>150000000</v>
      </c>
      <c r="Z12" s="83">
        <f>'3_Giả định'!$B$11</f>
        <v>150000000</v>
      </c>
    </row>
    <row r="13" spans="1:26" ht="15" customHeight="1" x14ac:dyDescent="0.3">
      <c r="A13" s="53" t="s">
        <v>396</v>
      </c>
      <c r="B13" s="83">
        <f>-'3_Giả định'!$B$12</f>
        <v>-600000000</v>
      </c>
      <c r="C13" s="83">
        <f t="shared" ref="C13:Z13" si="1">C10-C11-C12</f>
        <v>-159801422.07999998</v>
      </c>
      <c r="D13" s="83">
        <f t="shared" si="1"/>
        <v>-123532915.264</v>
      </c>
      <c r="E13" s="83">
        <f t="shared" si="1"/>
        <v>-85474506.520191997</v>
      </c>
      <c r="F13" s="83">
        <f t="shared" si="1"/>
        <v>-45449656.335827231</v>
      </c>
      <c r="G13" s="83">
        <f t="shared" si="1"/>
        <v>-3268702.4578926861</v>
      </c>
      <c r="H13" s="83">
        <f t="shared" si="1"/>
        <v>41272219.938732624</v>
      </c>
      <c r="I13" s="83">
        <f t="shared" si="1"/>
        <v>88392343.56929034</v>
      </c>
      <c r="J13" s="83">
        <f t="shared" si="1"/>
        <v>138327526.70922875</v>
      </c>
      <c r="K13" s="83">
        <f t="shared" si="1"/>
        <v>191331610.63073051</v>
      </c>
      <c r="L13" s="83">
        <f t="shared" si="1"/>
        <v>247677884.81240952</v>
      </c>
      <c r="M13" s="83">
        <f t="shared" si="1"/>
        <v>307660668.56868613</v>
      </c>
      <c r="N13" s="83">
        <f t="shared" si="1"/>
        <v>371597018.43632656</v>
      </c>
      <c r="O13" s="83">
        <f t="shared" si="1"/>
        <v>439828571.40191352</v>
      </c>
      <c r="P13" s="83">
        <f t="shared" si="1"/>
        <v>512723534.86002707</v>
      </c>
      <c r="Q13" s="83">
        <f t="shared" si="1"/>
        <v>590678835.06241107</v>
      </c>
      <c r="R13" s="83">
        <f t="shared" si="1"/>
        <v>674122436.7585783</v>
      </c>
      <c r="S13" s="83">
        <f t="shared" si="1"/>
        <v>763515847.74370372</v>
      </c>
      <c r="T13" s="83">
        <f t="shared" si="1"/>
        <v>859356823.12630606</v>
      </c>
      <c r="U13" s="83">
        <f t="shared" si="1"/>
        <v>962182285.31262374</v>
      </c>
      <c r="V13" s="83">
        <f t="shared" si="1"/>
        <v>1072571476.9837594</v>
      </c>
      <c r="W13" s="83">
        <f t="shared" si="1"/>
        <v>1191149365.7232027</v>
      </c>
      <c r="X13" s="83">
        <f t="shared" si="1"/>
        <v>1318590320.44438</v>
      </c>
      <c r="Y13" s="83">
        <f t="shared" si="1"/>
        <v>1455622081.3793507</v>
      </c>
      <c r="Z13" s="83">
        <f t="shared" si="1"/>
        <v>1603030047.130137</v>
      </c>
    </row>
    <row r="14" spans="1:26" ht="15" customHeight="1" x14ac:dyDescent="0.3">
      <c r="A14" s="53" t="s">
        <v>397</v>
      </c>
      <c r="B14" s="83">
        <f>'3_Giả định'!$B$13+B13</f>
        <v>1400000000</v>
      </c>
      <c r="C14" s="83">
        <f t="shared" ref="C14:Z14" si="2">B14+C13</f>
        <v>1240198577.9200001</v>
      </c>
      <c r="D14" s="83">
        <f t="shared" si="2"/>
        <v>1116665662.6560001</v>
      </c>
      <c r="E14" s="83">
        <f t="shared" si="2"/>
        <v>1031191156.1358081</v>
      </c>
      <c r="F14" s="83">
        <f t="shared" si="2"/>
        <v>985741499.79998088</v>
      </c>
      <c r="G14" s="83">
        <f t="shared" si="2"/>
        <v>982472797.34208822</v>
      </c>
      <c r="H14" s="83">
        <f t="shared" si="2"/>
        <v>1023745017.2808208</v>
      </c>
      <c r="I14" s="83">
        <f t="shared" si="2"/>
        <v>1112137360.8501112</v>
      </c>
      <c r="J14" s="83">
        <f t="shared" si="2"/>
        <v>1250464887.55934</v>
      </c>
      <c r="K14" s="83">
        <f t="shared" si="2"/>
        <v>1441796498.1900706</v>
      </c>
      <c r="L14" s="83">
        <f t="shared" si="2"/>
        <v>1689474383.00248</v>
      </c>
      <c r="M14" s="83">
        <f t="shared" si="2"/>
        <v>1997135051.571166</v>
      </c>
      <c r="N14" s="83">
        <f t="shared" si="2"/>
        <v>2368732070.0074925</v>
      </c>
      <c r="O14" s="83">
        <f t="shared" si="2"/>
        <v>2808560641.4094062</v>
      </c>
      <c r="P14" s="83">
        <f t="shared" si="2"/>
        <v>3321284176.269433</v>
      </c>
      <c r="Q14" s="83">
        <f t="shared" si="2"/>
        <v>3911963011.3318443</v>
      </c>
      <c r="R14" s="83">
        <f t="shared" si="2"/>
        <v>4586085448.0904226</v>
      </c>
      <c r="S14" s="83">
        <f t="shared" si="2"/>
        <v>5349601295.8341265</v>
      </c>
      <c r="T14" s="83">
        <f t="shared" si="2"/>
        <v>6208958118.9604321</v>
      </c>
      <c r="U14" s="83">
        <f t="shared" si="2"/>
        <v>7171140404.273056</v>
      </c>
      <c r="V14" s="83">
        <f t="shared" si="2"/>
        <v>8243711881.256815</v>
      </c>
      <c r="W14" s="83">
        <f t="shared" si="2"/>
        <v>9434861246.9800186</v>
      </c>
      <c r="X14" s="83">
        <f t="shared" si="2"/>
        <v>10753451567.424398</v>
      </c>
      <c r="Y14" s="83">
        <f t="shared" si="2"/>
        <v>12209073648.803749</v>
      </c>
      <c r="Z14" s="83">
        <f t="shared" si="2"/>
        <v>13812103695.933886</v>
      </c>
    </row>
    <row r="15" spans="1:26" ht="15" customHeight="1" x14ac:dyDescent="0.3">
      <c r="A15" s="53" t="s">
        <v>398</v>
      </c>
      <c r="B15" s="83">
        <f>B13</f>
        <v>-600000000</v>
      </c>
      <c r="C15" s="83">
        <f t="shared" ref="C15:Z15" si="3">B15+C13</f>
        <v>-759801422.07999992</v>
      </c>
      <c r="D15" s="83">
        <f t="shared" si="3"/>
        <v>-883334337.34399986</v>
      </c>
      <c r="E15" s="83">
        <f t="shared" si="3"/>
        <v>-968808843.86419189</v>
      </c>
      <c r="F15" s="83">
        <f t="shared" si="3"/>
        <v>-1014258500.2000191</v>
      </c>
      <c r="G15" s="83">
        <f t="shared" si="3"/>
        <v>-1017527202.6579118</v>
      </c>
      <c r="H15" s="83">
        <f t="shared" si="3"/>
        <v>-976254982.71917915</v>
      </c>
      <c r="I15" s="83">
        <f t="shared" si="3"/>
        <v>-887862639.14988875</v>
      </c>
      <c r="J15" s="83">
        <f t="shared" si="3"/>
        <v>-749535112.44066</v>
      </c>
      <c r="K15" s="83">
        <f t="shared" si="3"/>
        <v>-558203501.80992949</v>
      </c>
      <c r="L15" s="83">
        <f t="shared" si="3"/>
        <v>-310525616.99751997</v>
      </c>
      <c r="M15" s="83">
        <f t="shared" si="3"/>
        <v>-2864948.4288338423</v>
      </c>
      <c r="N15" s="83">
        <f t="shared" si="3"/>
        <v>368732070.00749272</v>
      </c>
      <c r="O15" s="83">
        <f t="shared" si="3"/>
        <v>808560641.40940619</v>
      </c>
      <c r="P15" s="83">
        <f t="shared" si="3"/>
        <v>1321284176.2694333</v>
      </c>
      <c r="Q15" s="83">
        <f t="shared" si="3"/>
        <v>1911963011.3318443</v>
      </c>
      <c r="R15" s="83">
        <f t="shared" si="3"/>
        <v>2586085448.0904226</v>
      </c>
      <c r="S15" s="83">
        <f t="shared" si="3"/>
        <v>3349601295.8341265</v>
      </c>
      <c r="T15" s="83">
        <f t="shared" si="3"/>
        <v>4208958118.9604325</v>
      </c>
      <c r="U15" s="83">
        <f t="shared" si="3"/>
        <v>5171140404.273056</v>
      </c>
      <c r="V15" s="83">
        <f t="shared" si="3"/>
        <v>6243711881.256815</v>
      </c>
      <c r="W15" s="83">
        <f t="shared" si="3"/>
        <v>7434861246.9800177</v>
      </c>
      <c r="X15" s="83">
        <f t="shared" si="3"/>
        <v>8753451567.4243984</v>
      </c>
      <c r="Y15" s="83">
        <f t="shared" si="3"/>
        <v>10209073648.803749</v>
      </c>
      <c r="Z15" s="83">
        <f t="shared" si="3"/>
        <v>11812103695.933886</v>
      </c>
    </row>
    <row r="17" spans="1:26" ht="15" customHeight="1" x14ac:dyDescent="0.3">
      <c r="A17" s="81" t="s">
        <v>399</v>
      </c>
    </row>
    <row r="18" spans="1:26" ht="15" customHeight="1" x14ac:dyDescent="0.3">
      <c r="A18" s="53" t="s">
        <v>391</v>
      </c>
      <c r="C18" s="82">
        <f>'3_Giả định'!$C$7*(1+'3_Giả định'!$C$8)^0</f>
        <v>30</v>
      </c>
      <c r="D18" s="82">
        <f>'3_Giả định'!$C$7*(1+'3_Giả định'!$C$8)^1</f>
        <v>31.5</v>
      </c>
      <c r="E18" s="82">
        <f>'3_Giả định'!$C$7*(1+'3_Giả định'!$C$8)^2</f>
        <v>33.075000000000003</v>
      </c>
      <c r="F18" s="82">
        <f>'3_Giả định'!$C$7*(1+'3_Giả định'!$C$8)^3</f>
        <v>34.728750000000005</v>
      </c>
      <c r="G18" s="82">
        <f>'3_Giả định'!$C$7*(1+'3_Giả định'!$C$8)^4</f>
        <v>36.465187499999999</v>
      </c>
      <c r="H18" s="82">
        <f>'3_Giả định'!$C$7*(1+'3_Giả định'!$C$8)^5</f>
        <v>38.288446875000005</v>
      </c>
      <c r="I18" s="82">
        <f>'3_Giả định'!$C$7*(1+'3_Giả định'!$C$8)^6</f>
        <v>40.202869218749996</v>
      </c>
      <c r="J18" s="82">
        <f>'3_Giả định'!$C$7*(1+'3_Giả định'!$C$8)^7</f>
        <v>42.213012679687509</v>
      </c>
      <c r="K18" s="82">
        <f>'3_Giả định'!$C$7*(1+'3_Giả định'!$C$8)^8</f>
        <v>44.323663313671879</v>
      </c>
      <c r="L18" s="82">
        <f>'3_Giả định'!$C$7*(1+'3_Giả định'!$C$8)^9</f>
        <v>46.539846479355475</v>
      </c>
      <c r="M18" s="82">
        <f>'3_Giả định'!$C$7*(1+'3_Giả định'!$C$8)^10</f>
        <v>48.866838803323247</v>
      </c>
      <c r="N18" s="82">
        <f>'3_Giả định'!$C$7*(1+'3_Giả định'!$C$8)^11</f>
        <v>51.310180743489411</v>
      </c>
      <c r="O18" s="82">
        <f>'3_Giả định'!$C$7*(1+'3_Giả định'!$C$8)^12</f>
        <v>53.875689780663876</v>
      </c>
      <c r="P18" s="82">
        <f>'3_Giả định'!$C$7*(1+'3_Giả định'!$C$8)^13</f>
        <v>56.569474269697082</v>
      </c>
      <c r="Q18" s="82">
        <f>'3_Giả định'!$C$7*(1+'3_Giả định'!$C$8)^14</f>
        <v>59.397947983181922</v>
      </c>
      <c r="R18" s="82">
        <f>'3_Giả định'!$C$7*(1+'3_Giả định'!$C$8)^15</f>
        <v>62.367845382341038</v>
      </c>
      <c r="S18" s="82">
        <f>'3_Giả định'!$C$7*(1+'3_Giả định'!$C$8)^16</f>
        <v>65.486237651458083</v>
      </c>
      <c r="T18" s="82">
        <f>'3_Giả định'!$C$7*(1+'3_Giả định'!$C$8)^17</f>
        <v>68.760549534031</v>
      </c>
      <c r="U18" s="82">
        <f>'3_Giả định'!$C$7*(1+'3_Giả định'!$C$8)^18</f>
        <v>72.198577010732549</v>
      </c>
      <c r="V18" s="82">
        <f>'3_Giả định'!$C$7*(1+'3_Giả định'!$C$8)^19</f>
        <v>75.808505861269168</v>
      </c>
      <c r="W18" s="82">
        <f>'3_Giả định'!$C$7*(1+'3_Giả định'!$C$8)^20</f>
        <v>79.598931154332632</v>
      </c>
      <c r="X18" s="82">
        <f>'3_Giả định'!$C$7*(1+'3_Giả định'!$C$8)^21</f>
        <v>83.578877712049263</v>
      </c>
      <c r="Y18" s="82">
        <f>'3_Giả định'!$C$7*(1+'3_Giả định'!$C$8)^22</f>
        <v>87.757821597651713</v>
      </c>
      <c r="Z18" s="82">
        <f>'3_Giả định'!$C$7*(1+'3_Giả định'!$C$8)^23</f>
        <v>92.14571267753432</v>
      </c>
    </row>
    <row r="19" spans="1:26" ht="15" customHeight="1" x14ac:dyDescent="0.3">
      <c r="A19" s="53" t="s">
        <v>392</v>
      </c>
      <c r="B19">
        <v>0</v>
      </c>
      <c r="C19" s="82">
        <f>B19*(1-'3_Giả định'!$C$9)+C18</f>
        <v>30</v>
      </c>
      <c r="D19" s="82">
        <f>C19*(1-'3_Giả định'!$C$9)+D18</f>
        <v>60</v>
      </c>
      <c r="E19" s="82">
        <f>D19*(1-'3_Giả định'!$C$9)+E18</f>
        <v>90.075000000000003</v>
      </c>
      <c r="F19" s="82">
        <f>E19*(1-'3_Giả định'!$C$9)+F18</f>
        <v>120.3</v>
      </c>
      <c r="G19" s="82">
        <f>F19*(1-'3_Giả định'!$C$9)+G18</f>
        <v>150.75018749999998</v>
      </c>
      <c r="H19" s="82">
        <f>G19*(1-'3_Giả định'!$C$9)+H18</f>
        <v>181.50112499999997</v>
      </c>
      <c r="I19" s="82">
        <f>H19*(1-'3_Giả định'!$C$9)+I18</f>
        <v>212.62893796874994</v>
      </c>
      <c r="J19" s="82">
        <f>I19*(1-'3_Giả định'!$C$9)+J18</f>
        <v>244.21050374999993</v>
      </c>
      <c r="K19" s="82">
        <f>J19*(1-'3_Giả định'!$C$9)+K18</f>
        <v>276.32364187617179</v>
      </c>
      <c r="L19" s="82">
        <f>K19*(1-'3_Giả định'!$C$9)+L18</f>
        <v>309.04730626171863</v>
      </c>
      <c r="M19" s="82">
        <f>L19*(1-'3_Giả định'!$C$9)+M18</f>
        <v>342.46177975195599</v>
      </c>
      <c r="N19" s="82">
        <f>M19*(1-'3_Giả định'!$C$9)+N18</f>
        <v>376.64887150784756</v>
      </c>
      <c r="O19" s="82">
        <f>N19*(1-'3_Giả định'!$C$9)+O18</f>
        <v>411.69211771311905</v>
      </c>
      <c r="P19" s="82">
        <f>O19*(1-'3_Giả định'!$C$9)+P18</f>
        <v>447.67698609716018</v>
      </c>
      <c r="Q19" s="82">
        <f>P19*(1-'3_Giả định'!$C$9)+Q18</f>
        <v>484.69108477548411</v>
      </c>
      <c r="R19" s="82">
        <f>Q19*(1-'3_Giả định'!$C$9)+R18</f>
        <v>522.82437591905091</v>
      </c>
      <c r="S19" s="82">
        <f>R19*(1-'3_Giả định'!$C$9)+S18</f>
        <v>562.16939477455639</v>
      </c>
      <c r="T19" s="82">
        <f>S19*(1-'3_Giả định'!$C$9)+T18</f>
        <v>602.82147456985956</v>
      </c>
      <c r="U19" s="82">
        <f>T19*(1-'3_Giả định'!$C$9)+U18</f>
        <v>644.87897785209907</v>
      </c>
      <c r="V19" s="82">
        <f>U19*(1-'3_Giả định'!$C$9)+V18</f>
        <v>688.44353482076326</v>
      </c>
      <c r="W19" s="82">
        <f>V19*(1-'3_Giả định'!$C$9)+W18</f>
        <v>733.62028923405762</v>
      </c>
      <c r="X19" s="82">
        <f>W19*(1-'3_Giả định'!$C$9)+X18</f>
        <v>780.51815248440391</v>
      </c>
      <c r="Y19" s="82">
        <f>X19*(1-'3_Giả định'!$C$9)+Y18</f>
        <v>829.25006645783537</v>
      </c>
      <c r="Z19" s="82">
        <f>Y19*(1-'3_Giả định'!$C$9)+Z18</f>
        <v>879.93327581247786</v>
      </c>
    </row>
    <row r="20" spans="1:26" ht="15" customHeight="1" x14ac:dyDescent="0.3">
      <c r="A20" s="53" t="s">
        <v>89</v>
      </c>
      <c r="C20" s="83">
        <f>C19*'3_Giả định'!$C$17</f>
        <v>33195000</v>
      </c>
      <c r="D20" s="83">
        <f>D19*'3_Giả định'!$C$17</f>
        <v>66390000</v>
      </c>
      <c r="E20" s="83">
        <f>E19*'3_Giả định'!$C$17</f>
        <v>99667987.5</v>
      </c>
      <c r="F20" s="83">
        <f>F19*'3_Giả định'!$C$17</f>
        <v>133111950</v>
      </c>
      <c r="G20" s="83">
        <f>G19*'3_Giả định'!$C$17</f>
        <v>166805082.46874997</v>
      </c>
      <c r="H20" s="83">
        <f>H19*'3_Giả định'!$C$17</f>
        <v>200830994.81249997</v>
      </c>
      <c r="I20" s="83">
        <f>I19*'3_Giả định'!$C$17</f>
        <v>235273919.86242181</v>
      </c>
      <c r="J20" s="83">
        <f>J19*'3_Giả định'!$C$17</f>
        <v>270218922.3993749</v>
      </c>
      <c r="K20" s="83">
        <f>K19*'3_Giả định'!$C$17</f>
        <v>305752109.73598409</v>
      </c>
      <c r="L20" s="83">
        <f>L19*'3_Giả định'!$C$17</f>
        <v>341960844.37859166</v>
      </c>
      <c r="M20" s="83">
        <f>M19*'3_Giả định'!$C$17</f>
        <v>378933959.29553932</v>
      </c>
      <c r="N20" s="83">
        <f>N19*'3_Giả định'!$C$17</f>
        <v>416761976.32343334</v>
      </c>
      <c r="O20" s="83">
        <f>O19*'3_Giả định'!$C$17</f>
        <v>455537328.2495662</v>
      </c>
      <c r="P20" s="83">
        <f>P19*'3_Giả định'!$C$17</f>
        <v>495354585.11650777</v>
      </c>
      <c r="Q20" s="83">
        <f>Q19*'3_Giả định'!$C$17</f>
        <v>536310685.30407315</v>
      </c>
      <c r="R20" s="83">
        <f>R19*'3_Giả định'!$C$17</f>
        <v>578505171.95442986</v>
      </c>
      <c r="S20" s="83">
        <f>S19*'3_Giả định'!$C$17</f>
        <v>622040435.31804669</v>
      </c>
      <c r="T20" s="83">
        <f>T19*'3_Giả định'!$C$17</f>
        <v>667021961.61154962</v>
      </c>
      <c r="U20" s="83">
        <f>U19*'3_Giả định'!$C$17</f>
        <v>713558588.99334764</v>
      </c>
      <c r="V20" s="83">
        <f>V19*'3_Giả định'!$C$17</f>
        <v>761762771.27917457</v>
      </c>
      <c r="W20" s="83">
        <f>W19*'3_Giả định'!$C$17</f>
        <v>811750850.03748477</v>
      </c>
      <c r="X20" s="83">
        <f>X19*'3_Giả định'!$C$17</f>
        <v>863643335.72399294</v>
      </c>
      <c r="Y20" s="83">
        <f>Y19*'3_Giả định'!$C$17</f>
        <v>917565198.53559482</v>
      </c>
      <c r="Z20" s="83">
        <f>Z19*'3_Giả định'!$C$17</f>
        <v>973646169.68650675</v>
      </c>
    </row>
    <row r="21" spans="1:26" ht="15" customHeight="1" x14ac:dyDescent="0.3">
      <c r="A21" s="53" t="s">
        <v>393</v>
      </c>
      <c r="C21" s="83">
        <f>C19*'3_Giả định'!$C$18</f>
        <v>8739518.3999999985</v>
      </c>
      <c r="D21" s="83">
        <f>D19*'3_Giả định'!$C$18</f>
        <v>17479036.799999997</v>
      </c>
      <c r="E21" s="83">
        <f>E19*'3_Giả định'!$C$18</f>
        <v>26240403.995999999</v>
      </c>
      <c r="F21" s="83">
        <f>F19*'3_Giả định'!$C$18</f>
        <v>35045468.783999994</v>
      </c>
      <c r="G21" s="83">
        <f>G19*'3_Giả định'!$C$18</f>
        <v>43916134.581989989</v>
      </c>
      <c r="H21" s="83">
        <f>H19*'3_Giả định'!$C$18</f>
        <v>52874414.051939987</v>
      </c>
      <c r="I21" s="83">
        <f>I19*'3_Giả định'!$C$18</f>
        <v>61942483.85834495</v>
      </c>
      <c r="J21" s="83">
        <f>J19*'3_Giả định'!$C$18</f>
        <v>71142739.699879766</v>
      </c>
      <c r="K21" s="83">
        <f>K19*'3_Giả định'!$C$18</f>
        <v>80497851.751060456</v>
      </c>
      <c r="L21" s="83">
        <f>L19*'3_Giả định'!$C$18</f>
        <v>90030820.651490837</v>
      </c>
      <c r="M21" s="83">
        <f>M19*'3_Giả định'!$C$18</f>
        <v>99765034.181298882</v>
      </c>
      <c r="N21" s="83">
        <f>N19*'3_Giả định'!$C$18</f>
        <v>109724324.76273564</v>
      </c>
      <c r="O21" s="83">
        <f>O19*'3_Giả định'!$C$18</f>
        <v>119933027.92962565</v>
      </c>
      <c r="P21" s="83">
        <f>P19*'3_Giả định'!$C$18</f>
        <v>130416041.9084225</v>
      </c>
      <c r="Q21" s="83">
        <f>Q19*'3_Giả định'!$C$18</f>
        <v>141198888.45704344</v>
      </c>
      <c r="R21" s="83">
        <f>R19*'3_Giả định'!$C$18</f>
        <v>152307775.1104354</v>
      </c>
      <c r="S21" s="83">
        <f>S19*'3_Giả định'!$C$18</f>
        <v>163769658.98496997</v>
      </c>
      <c r="T21" s="83">
        <f>T19*'3_Giả định'!$C$18</f>
        <v>175612312.29728064</v>
      </c>
      <c r="U21" s="83">
        <f>U19*'3_Giả định'!$C$18</f>
        <v>187864389.75705373</v>
      </c>
      <c r="V21" s="83">
        <f>V19*'3_Giả định'!$C$18</f>
        <v>200555497.99757001</v>
      </c>
      <c r="W21" s="83">
        <f>W19*'3_Giả định'!$C$18</f>
        <v>213716267.21247894</v>
      </c>
      <c r="X21" s="83">
        <f>X19*'3_Giả định'!$C$18</f>
        <v>227378425.17238176</v>
      </c>
      <c r="Y21" s="83">
        <f>Y19*'3_Giả định'!$C$18</f>
        <v>241574873.8003158</v>
      </c>
      <c r="Z21" s="83">
        <f>Z19*'3_Giả định'!$C$18</f>
        <v>256339768.49118081</v>
      </c>
    </row>
    <row r="22" spans="1:26" ht="15" customHeight="1" x14ac:dyDescent="0.3">
      <c r="A22" s="53" t="s">
        <v>91</v>
      </c>
      <c r="C22" s="83">
        <f t="shared" ref="C22:Z22" si="4">C20-C21</f>
        <v>24455481.600000001</v>
      </c>
      <c r="D22" s="83">
        <f t="shared" si="4"/>
        <v>48910963.200000003</v>
      </c>
      <c r="E22" s="83">
        <f t="shared" si="4"/>
        <v>73427583.504000008</v>
      </c>
      <c r="F22" s="83">
        <f t="shared" si="4"/>
        <v>98066481.216000006</v>
      </c>
      <c r="G22" s="83">
        <f t="shared" si="4"/>
        <v>122888947.88675998</v>
      </c>
      <c r="H22" s="83">
        <f t="shared" si="4"/>
        <v>147956580.76055998</v>
      </c>
      <c r="I22" s="83">
        <f t="shared" si="4"/>
        <v>173331436.00407687</v>
      </c>
      <c r="J22" s="83">
        <f t="shared" si="4"/>
        <v>199076182.69949514</v>
      </c>
      <c r="K22" s="83">
        <f t="shared" si="4"/>
        <v>225254257.98492363</v>
      </c>
      <c r="L22" s="83">
        <f t="shared" si="4"/>
        <v>251930023.72710082</v>
      </c>
      <c r="M22" s="83">
        <f t="shared" si="4"/>
        <v>279168925.11424041</v>
      </c>
      <c r="N22" s="83">
        <f t="shared" si="4"/>
        <v>307037651.56069767</v>
      </c>
      <c r="O22" s="83">
        <f t="shared" si="4"/>
        <v>335604300.31994057</v>
      </c>
      <c r="P22" s="83">
        <f t="shared" si="4"/>
        <v>364938543.2080853</v>
      </c>
      <c r="Q22" s="83">
        <f t="shared" si="4"/>
        <v>395111796.84702969</v>
      </c>
      <c r="R22" s="83">
        <f t="shared" si="4"/>
        <v>426197396.8439945</v>
      </c>
      <c r="S22" s="83">
        <f t="shared" si="4"/>
        <v>458270776.33307672</v>
      </c>
      <c r="T22" s="83">
        <f t="shared" si="4"/>
        <v>491409649.31426895</v>
      </c>
      <c r="U22" s="83">
        <f t="shared" si="4"/>
        <v>525694199.23629391</v>
      </c>
      <c r="V22" s="83">
        <f t="shared" si="4"/>
        <v>561207273.28160453</v>
      </c>
      <c r="W22" s="83">
        <f t="shared" si="4"/>
        <v>598034582.82500577</v>
      </c>
      <c r="X22" s="83">
        <f t="shared" si="4"/>
        <v>636264910.55161119</v>
      </c>
      <c r="Y22" s="83">
        <f t="shared" si="4"/>
        <v>675990324.73527908</v>
      </c>
      <c r="Z22" s="83">
        <f t="shared" si="4"/>
        <v>717306401.19532597</v>
      </c>
    </row>
    <row r="23" spans="1:26" ht="15" customHeight="1" x14ac:dyDescent="0.3">
      <c r="A23" s="53" t="s">
        <v>394</v>
      </c>
      <c r="C23" s="83">
        <f>C18*'3_Giả định'!$C$10</f>
        <v>45000000</v>
      </c>
      <c r="D23" s="83">
        <f>D18*'3_Giả định'!$C$10</f>
        <v>47250000</v>
      </c>
      <c r="E23" s="83">
        <f>E18*'3_Giả định'!$C$10</f>
        <v>49612500.000000007</v>
      </c>
      <c r="F23" s="83">
        <f>F18*'3_Giả định'!$C$10</f>
        <v>52093125.000000007</v>
      </c>
      <c r="G23" s="83">
        <f>G18*'3_Giả định'!$C$10</f>
        <v>54697781.25</v>
      </c>
      <c r="H23" s="83">
        <f>H18*'3_Giả định'!$C$10</f>
        <v>57432670.312500007</v>
      </c>
      <c r="I23" s="83">
        <f>I18*'3_Giả định'!$C$10</f>
        <v>60304303.828124993</v>
      </c>
      <c r="J23" s="83">
        <f>J18*'3_Giả định'!$C$10</f>
        <v>63319519.019531265</v>
      </c>
      <c r="K23" s="83">
        <f>K18*'3_Giả định'!$C$10</f>
        <v>66485494.970507815</v>
      </c>
      <c r="L23" s="83">
        <f>L18*'3_Giả định'!$C$10</f>
        <v>69809769.719033211</v>
      </c>
      <c r="M23" s="83">
        <f>M18*'3_Giả định'!$C$10</f>
        <v>73300258.204984874</v>
      </c>
      <c r="N23" s="83">
        <f>N18*'3_Giả định'!$C$10</f>
        <v>76965271.115234122</v>
      </c>
      <c r="O23" s="83">
        <f>O18*'3_Giả định'!$C$10</f>
        <v>80813534.670995817</v>
      </c>
      <c r="P23" s="83">
        <f>P18*'3_Giả định'!$C$10</f>
        <v>84854211.40454562</v>
      </c>
      <c r="Q23" s="83">
        <f>Q18*'3_Giả định'!$C$10</f>
        <v>89096921.974772885</v>
      </c>
      <c r="R23" s="83">
        <f>R18*'3_Giả định'!$C$10</f>
        <v>93551768.073511556</v>
      </c>
      <c r="S23" s="83">
        <f>S18*'3_Giả định'!$C$10</f>
        <v>98229356.477187127</v>
      </c>
      <c r="T23" s="83">
        <f>T18*'3_Giả định'!$C$10</f>
        <v>103140824.30104651</v>
      </c>
      <c r="U23" s="83">
        <f>U18*'3_Giả định'!$C$10</f>
        <v>108297865.51609883</v>
      </c>
      <c r="V23" s="83">
        <f>V18*'3_Giả định'!$C$10</f>
        <v>113712758.79190375</v>
      </c>
      <c r="W23" s="83">
        <f>W18*'3_Giả định'!$C$10</f>
        <v>119398396.73149894</v>
      </c>
      <c r="X23" s="83">
        <f>X18*'3_Giả định'!$C$10</f>
        <v>125368316.5680739</v>
      </c>
      <c r="Y23" s="83">
        <f>Y18*'3_Giả định'!$C$10</f>
        <v>131636732.39647757</v>
      </c>
      <c r="Z23" s="83">
        <f>Z18*'3_Giả định'!$C$10</f>
        <v>138218569.01630148</v>
      </c>
    </row>
    <row r="24" spans="1:26" ht="15" customHeight="1" x14ac:dyDescent="0.3">
      <c r="A24" s="53" t="s">
        <v>395</v>
      </c>
      <c r="C24" s="83">
        <f>'3_Giả định'!$C$11</f>
        <v>150000000</v>
      </c>
      <c r="D24" s="83">
        <f>'3_Giả định'!$C$11</f>
        <v>150000000</v>
      </c>
      <c r="E24" s="83">
        <f>'3_Giả định'!$C$11</f>
        <v>150000000</v>
      </c>
      <c r="F24" s="83">
        <f>'3_Giả định'!$C$11</f>
        <v>150000000</v>
      </c>
      <c r="G24" s="83">
        <f>'3_Giả định'!$C$11</f>
        <v>150000000</v>
      </c>
      <c r="H24" s="83">
        <f>'3_Giả định'!$C$11</f>
        <v>150000000</v>
      </c>
      <c r="I24" s="83">
        <f>'3_Giả định'!$C$11</f>
        <v>150000000</v>
      </c>
      <c r="J24" s="83">
        <f>'3_Giả định'!$C$11</f>
        <v>150000000</v>
      </c>
      <c r="K24" s="83">
        <f>'3_Giả định'!$C$11</f>
        <v>150000000</v>
      </c>
      <c r="L24" s="83">
        <f>'3_Giả định'!$C$11</f>
        <v>150000000</v>
      </c>
      <c r="M24" s="83">
        <f>'3_Giả định'!$C$11</f>
        <v>150000000</v>
      </c>
      <c r="N24" s="83">
        <f>'3_Giả định'!$C$11</f>
        <v>150000000</v>
      </c>
      <c r="O24" s="83">
        <f>'3_Giả định'!$C$11</f>
        <v>150000000</v>
      </c>
      <c r="P24" s="83">
        <f>'3_Giả định'!$C$11</f>
        <v>150000000</v>
      </c>
      <c r="Q24" s="83">
        <f>'3_Giả định'!$C$11</f>
        <v>150000000</v>
      </c>
      <c r="R24" s="83">
        <f>'3_Giả định'!$C$11</f>
        <v>150000000</v>
      </c>
      <c r="S24" s="83">
        <f>'3_Giả định'!$C$11</f>
        <v>150000000</v>
      </c>
      <c r="T24" s="83">
        <f>'3_Giả định'!$C$11</f>
        <v>150000000</v>
      </c>
      <c r="U24" s="83">
        <f>'3_Giả định'!$C$11</f>
        <v>150000000</v>
      </c>
      <c r="V24" s="83">
        <f>'3_Giả định'!$C$11</f>
        <v>150000000</v>
      </c>
      <c r="W24" s="83">
        <f>'3_Giả định'!$C$11</f>
        <v>150000000</v>
      </c>
      <c r="X24" s="83">
        <f>'3_Giả định'!$C$11</f>
        <v>150000000</v>
      </c>
      <c r="Y24" s="83">
        <f>'3_Giả định'!$C$11</f>
        <v>150000000</v>
      </c>
      <c r="Z24" s="83">
        <f>'3_Giả định'!$C$11</f>
        <v>150000000</v>
      </c>
    </row>
    <row r="25" spans="1:26" ht="15" customHeight="1" x14ac:dyDescent="0.3">
      <c r="A25" s="53" t="s">
        <v>396</v>
      </c>
      <c r="B25" s="83">
        <f>-'3_Giả định'!$C$12</f>
        <v>-600000000</v>
      </c>
      <c r="C25" s="83">
        <f t="shared" ref="C25:Z25" si="5">C22-C23-C24</f>
        <v>-170544518.40000001</v>
      </c>
      <c r="D25" s="83">
        <f t="shared" si="5"/>
        <v>-148339036.80000001</v>
      </c>
      <c r="E25" s="83">
        <f t="shared" si="5"/>
        <v>-126184916.49599999</v>
      </c>
      <c r="F25" s="83">
        <f t="shared" si="5"/>
        <v>-104026643.78400001</v>
      </c>
      <c r="G25" s="83">
        <f t="shared" si="5"/>
        <v>-81808833.363240018</v>
      </c>
      <c r="H25" s="83">
        <f t="shared" si="5"/>
        <v>-59476089.551940024</v>
      </c>
      <c r="I25" s="83">
        <f t="shared" si="5"/>
        <v>-36972867.824048132</v>
      </c>
      <c r="J25" s="83">
        <f t="shared" si="5"/>
        <v>-14243336.320036113</v>
      </c>
      <c r="K25" s="83">
        <f t="shared" si="5"/>
        <v>8768763.0144158006</v>
      </c>
      <c r="L25" s="83">
        <f t="shared" si="5"/>
        <v>32120254.008067608</v>
      </c>
      <c r="M25" s="83">
        <f t="shared" si="5"/>
        <v>55868666.909255534</v>
      </c>
      <c r="N25" s="83">
        <f t="shared" si="5"/>
        <v>80072380.445463538</v>
      </c>
      <c r="O25" s="83">
        <f t="shared" si="5"/>
        <v>104790765.64894474</v>
      </c>
      <c r="P25" s="83">
        <f t="shared" si="5"/>
        <v>130084331.80353969</v>
      </c>
      <c r="Q25" s="83">
        <f t="shared" si="5"/>
        <v>156014874.87225682</v>
      </c>
      <c r="R25" s="83">
        <f t="shared" si="5"/>
        <v>182645628.77048296</v>
      </c>
      <c r="S25" s="83">
        <f t="shared" si="5"/>
        <v>210041419.85588956</v>
      </c>
      <c r="T25" s="83">
        <f t="shared" si="5"/>
        <v>238268825.01322246</v>
      </c>
      <c r="U25" s="83">
        <f t="shared" si="5"/>
        <v>267396333.72019506</v>
      </c>
      <c r="V25" s="83">
        <f t="shared" si="5"/>
        <v>297494514.48970079</v>
      </c>
      <c r="W25" s="83">
        <f t="shared" si="5"/>
        <v>328636186.09350681</v>
      </c>
      <c r="X25" s="83">
        <f t="shared" si="5"/>
        <v>360896593.98353732</v>
      </c>
      <c r="Y25" s="83">
        <f t="shared" si="5"/>
        <v>394353592.3388015</v>
      </c>
      <c r="Z25" s="83">
        <f t="shared" si="5"/>
        <v>429087832.17902446</v>
      </c>
    </row>
    <row r="26" spans="1:26" ht="15" customHeight="1" x14ac:dyDescent="0.3">
      <c r="A26" s="53" t="s">
        <v>397</v>
      </c>
      <c r="B26" s="83">
        <f>'3_Giả định'!$C$13+B25</f>
        <v>1400000000</v>
      </c>
      <c r="C26" s="83">
        <f t="shared" ref="C26:Z26" si="6">B26+C25</f>
        <v>1229455481.5999999</v>
      </c>
      <c r="D26" s="83">
        <f t="shared" si="6"/>
        <v>1081116444.8</v>
      </c>
      <c r="E26" s="83">
        <f t="shared" si="6"/>
        <v>954931528.3039999</v>
      </c>
      <c r="F26" s="83">
        <f t="shared" si="6"/>
        <v>850904884.51999986</v>
      </c>
      <c r="G26" s="83">
        <f t="shared" si="6"/>
        <v>769096051.15675986</v>
      </c>
      <c r="H26" s="83">
        <f t="shared" si="6"/>
        <v>709619961.60481977</v>
      </c>
      <c r="I26" s="83">
        <f t="shared" si="6"/>
        <v>672647093.78077161</v>
      </c>
      <c r="J26" s="83">
        <f t="shared" si="6"/>
        <v>658403757.46073556</v>
      </c>
      <c r="K26" s="83">
        <f t="shared" si="6"/>
        <v>667172520.4751513</v>
      </c>
      <c r="L26" s="83">
        <f t="shared" si="6"/>
        <v>699292774.48321891</v>
      </c>
      <c r="M26" s="83">
        <f t="shared" si="6"/>
        <v>755161441.39247441</v>
      </c>
      <c r="N26" s="83">
        <f t="shared" si="6"/>
        <v>835233821.83793795</v>
      </c>
      <c r="O26" s="83">
        <f t="shared" si="6"/>
        <v>940024587.48688269</v>
      </c>
      <c r="P26" s="83">
        <f t="shared" si="6"/>
        <v>1070108919.2904224</v>
      </c>
      <c r="Q26" s="83">
        <f t="shared" si="6"/>
        <v>1226123794.1626792</v>
      </c>
      <c r="R26" s="83">
        <f t="shared" si="6"/>
        <v>1408769422.9331622</v>
      </c>
      <c r="S26" s="83">
        <f t="shared" si="6"/>
        <v>1618810842.7890518</v>
      </c>
      <c r="T26" s="83">
        <f t="shared" si="6"/>
        <v>1857079667.8022742</v>
      </c>
      <c r="U26" s="83">
        <f t="shared" si="6"/>
        <v>2124476001.5224693</v>
      </c>
      <c r="V26" s="83">
        <f t="shared" si="6"/>
        <v>2421970516.0121698</v>
      </c>
      <c r="W26" s="83">
        <f t="shared" si="6"/>
        <v>2750606702.1056767</v>
      </c>
      <c r="X26" s="83">
        <f t="shared" si="6"/>
        <v>3111503296.0892138</v>
      </c>
      <c r="Y26" s="83">
        <f t="shared" si="6"/>
        <v>3505856888.4280152</v>
      </c>
      <c r="Z26" s="83">
        <f t="shared" si="6"/>
        <v>3934944720.6070395</v>
      </c>
    </row>
    <row r="27" spans="1:26" ht="15" customHeight="1" x14ac:dyDescent="0.3">
      <c r="A27" s="53" t="s">
        <v>398</v>
      </c>
      <c r="B27" s="83">
        <f>B25</f>
        <v>-600000000</v>
      </c>
      <c r="C27" s="83">
        <f t="shared" ref="C27:Z27" si="7">B27+C25</f>
        <v>-770544518.39999998</v>
      </c>
      <c r="D27" s="83">
        <f t="shared" si="7"/>
        <v>-918883555.20000005</v>
      </c>
      <c r="E27" s="83">
        <f t="shared" si="7"/>
        <v>-1045068471.6960001</v>
      </c>
      <c r="F27" s="83">
        <f t="shared" si="7"/>
        <v>-1149095115.48</v>
      </c>
      <c r="G27" s="83">
        <f t="shared" si="7"/>
        <v>-1230903948.84324</v>
      </c>
      <c r="H27" s="83">
        <f t="shared" si="7"/>
        <v>-1290380038.39518</v>
      </c>
      <c r="I27" s="83">
        <f t="shared" si="7"/>
        <v>-1327352906.219228</v>
      </c>
      <c r="J27" s="83">
        <f t="shared" si="7"/>
        <v>-1341596242.5392642</v>
      </c>
      <c r="K27" s="83">
        <f t="shared" si="7"/>
        <v>-1332827479.5248485</v>
      </c>
      <c r="L27" s="83">
        <f t="shared" si="7"/>
        <v>-1300707225.5167809</v>
      </c>
      <c r="M27" s="83">
        <f t="shared" si="7"/>
        <v>-1244838558.6075253</v>
      </c>
      <c r="N27" s="83">
        <f t="shared" si="7"/>
        <v>-1164766178.1620617</v>
      </c>
      <c r="O27" s="83">
        <f t="shared" si="7"/>
        <v>-1059975412.513117</v>
      </c>
      <c r="P27" s="83">
        <f t="shared" si="7"/>
        <v>-929891080.70957732</v>
      </c>
      <c r="Q27" s="83">
        <f t="shared" si="7"/>
        <v>-773876205.83732057</v>
      </c>
      <c r="R27" s="83">
        <f t="shared" si="7"/>
        <v>-591230577.06683755</v>
      </c>
      <c r="S27" s="83">
        <f t="shared" si="7"/>
        <v>-381189157.21094799</v>
      </c>
      <c r="T27" s="83">
        <f t="shared" si="7"/>
        <v>-142920332.19772553</v>
      </c>
      <c r="U27" s="83">
        <f t="shared" si="7"/>
        <v>124476001.52246952</v>
      </c>
      <c r="V27" s="83">
        <f t="shared" si="7"/>
        <v>421970516.01217031</v>
      </c>
      <c r="W27" s="83">
        <f t="shared" si="7"/>
        <v>750606702.10567713</v>
      </c>
      <c r="X27" s="83">
        <f t="shared" si="7"/>
        <v>1111503296.0892143</v>
      </c>
      <c r="Y27" s="83">
        <f t="shared" si="7"/>
        <v>1505856888.4280157</v>
      </c>
      <c r="Z27" s="83">
        <f t="shared" si="7"/>
        <v>1934944720.6070402</v>
      </c>
    </row>
    <row r="29" spans="1:26" ht="15" customHeight="1" x14ac:dyDescent="0.3">
      <c r="A29" s="81" t="s">
        <v>400</v>
      </c>
    </row>
    <row r="30" spans="1:26" ht="15" customHeight="1" x14ac:dyDescent="0.3">
      <c r="A30" s="53" t="s">
        <v>391</v>
      </c>
      <c r="C30" s="82">
        <f>'3_Giả định'!$D$7*(1+'3_Giả định'!$D$8)^0</f>
        <v>15</v>
      </c>
      <c r="D30" s="82">
        <f>'3_Giả định'!$D$7*(1+'3_Giả định'!$D$8)^1</f>
        <v>15.3</v>
      </c>
      <c r="E30" s="82">
        <f>'3_Giả định'!$D$7*(1+'3_Giả định'!$D$8)^2</f>
        <v>15.606</v>
      </c>
      <c r="F30" s="82">
        <f>'3_Giả định'!$D$7*(1+'3_Giả định'!$D$8)^3</f>
        <v>15.918119999999998</v>
      </c>
      <c r="G30" s="82">
        <f>'3_Giả định'!$D$7*(1+'3_Giả định'!$D$8)^4</f>
        <v>16.2364824</v>
      </c>
      <c r="H30" s="82">
        <f>'3_Giả định'!$D$7*(1+'3_Giả định'!$D$8)^5</f>
        <v>16.561212048000002</v>
      </c>
      <c r="I30" s="82">
        <f>'3_Giả định'!$D$7*(1+'3_Giả định'!$D$8)^6</f>
        <v>16.892436288960003</v>
      </c>
      <c r="J30" s="82">
        <f>'3_Giả định'!$D$7*(1+'3_Giả định'!$D$8)^7</f>
        <v>17.230285014739199</v>
      </c>
      <c r="K30" s="82">
        <f>'3_Giả định'!$D$7*(1+'3_Giả định'!$D$8)^8</f>
        <v>17.574890715033984</v>
      </c>
      <c r="L30" s="82">
        <f>'3_Giả định'!$D$7*(1+'3_Giả định'!$D$8)^9</f>
        <v>17.926388529334663</v>
      </c>
      <c r="M30" s="82">
        <f>'3_Giả định'!$D$7*(1+'3_Giả định'!$D$8)^10</f>
        <v>18.284916299921356</v>
      </c>
      <c r="N30" s="82">
        <f>'3_Giả định'!$D$7*(1+'3_Giả định'!$D$8)^11</f>
        <v>18.650614625919779</v>
      </c>
      <c r="O30" s="82">
        <f>'3_Giả định'!$D$7*(1+'3_Giả định'!$D$8)^12</f>
        <v>19.023626918438179</v>
      </c>
      <c r="P30" s="82">
        <f>'3_Giả định'!$D$7*(1+'3_Giả định'!$D$8)^13</f>
        <v>19.404099456806943</v>
      </c>
      <c r="Q30" s="82">
        <f>'3_Giả định'!$D$7*(1+'3_Giả định'!$D$8)^14</f>
        <v>19.792181445943083</v>
      </c>
      <c r="R30" s="82">
        <f>'3_Giả định'!$D$7*(1+'3_Giả định'!$D$8)^15</f>
        <v>20.188025074861937</v>
      </c>
      <c r="S30" s="82">
        <f>'3_Giả định'!$D$7*(1+'3_Giả định'!$D$8)^16</f>
        <v>20.591785576359179</v>
      </c>
      <c r="T30" s="82">
        <f>'3_Giả định'!$D$7*(1+'3_Giả định'!$D$8)^17</f>
        <v>21.003621287886364</v>
      </c>
      <c r="U30" s="82">
        <f>'3_Giả định'!$D$7*(1+'3_Giả định'!$D$8)^18</f>
        <v>21.423693713644091</v>
      </c>
      <c r="V30" s="82">
        <f>'3_Giả định'!$D$7*(1+'3_Giả định'!$D$8)^19</f>
        <v>21.852167587916973</v>
      </c>
      <c r="W30" s="82">
        <f>'3_Giả định'!$D$7*(1+'3_Giả định'!$D$8)^20</f>
        <v>22.289210939675314</v>
      </c>
      <c r="X30" s="82">
        <f>'3_Giả định'!$D$7*(1+'3_Giả định'!$D$8)^21</f>
        <v>22.73499515846882</v>
      </c>
      <c r="Y30" s="82">
        <f>'3_Giả định'!$D$7*(1+'3_Giả định'!$D$8)^22</f>
        <v>23.189695061638197</v>
      </c>
      <c r="Z30" s="82">
        <f>'3_Giả định'!$D$7*(1+'3_Giả định'!$D$8)^23</f>
        <v>23.653488962870956</v>
      </c>
    </row>
    <row r="31" spans="1:26" ht="15" customHeight="1" x14ac:dyDescent="0.3">
      <c r="A31" s="53" t="s">
        <v>392</v>
      </c>
      <c r="B31">
        <v>0</v>
      </c>
      <c r="C31" s="82">
        <f>B31*(1-'3_Giả định'!$D$9)+C30</f>
        <v>15</v>
      </c>
      <c r="D31" s="82">
        <f>C31*(1-'3_Giả định'!$D$9)+D30</f>
        <v>29.1</v>
      </c>
      <c r="E31" s="82">
        <f>D31*(1-'3_Giả định'!$D$9)+E30</f>
        <v>42.378</v>
      </c>
      <c r="F31" s="82">
        <f>E31*(1-'3_Giả định'!$D$9)+F30</f>
        <v>54.905879999999996</v>
      </c>
      <c r="G31" s="82">
        <f>F31*(1-'3_Giả định'!$D$9)+G30</f>
        <v>66.749891999999988</v>
      </c>
      <c r="H31" s="82">
        <f>G31*(1-'3_Giả định'!$D$9)+H30</f>
        <v>77.971112687999991</v>
      </c>
      <c r="I31" s="82">
        <f>H31*(1-'3_Giả định'!$D$9)+I30</f>
        <v>88.62585996192</v>
      </c>
      <c r="J31" s="82">
        <f>I31*(1-'3_Giả định'!$D$9)+J30</f>
        <v>98.766076179705593</v>
      </c>
      <c r="K31" s="82">
        <f>J31*(1-'3_Giả định'!$D$9)+K30</f>
        <v>108.43968080036313</v>
      </c>
      <c r="L31" s="82">
        <f>K31*(1-'3_Giả định'!$D$9)+L30</f>
        <v>117.69089486566875</v>
      </c>
      <c r="M31" s="82">
        <f>L31*(1-'3_Giả định'!$D$9)+M30</f>
        <v>126.56053957633662</v>
      </c>
      <c r="N31" s="82">
        <f>M31*(1-'3_Giả định'!$D$9)+N30</f>
        <v>135.08631103614948</v>
      </c>
      <c r="O31" s="82">
        <f>N31*(1-'3_Giả định'!$D$9)+O30</f>
        <v>143.30303307169569</v>
      </c>
      <c r="P31" s="82">
        <f>O31*(1-'3_Giả định'!$D$9)+P30</f>
        <v>151.24288988276697</v>
      </c>
      <c r="Q31" s="82">
        <f>P31*(1-'3_Giả định'!$D$9)+Q30</f>
        <v>158.9356401380887</v>
      </c>
      <c r="R31" s="82">
        <f>Q31*(1-'3_Giả định'!$D$9)+R30</f>
        <v>166.40881400190355</v>
      </c>
      <c r="S31" s="82">
        <f>R31*(1-'3_Giả định'!$D$9)+S30</f>
        <v>173.68789445811043</v>
      </c>
      <c r="T31" s="82">
        <f>S31*(1-'3_Giả định'!$D$9)+T30</f>
        <v>180.79648418934798</v>
      </c>
      <c r="U31" s="82">
        <f>T31*(1-'3_Giả định'!$D$9)+U30</f>
        <v>187.75645916784424</v>
      </c>
      <c r="V31" s="82">
        <f>U31*(1-'3_Giả định'!$D$9)+V30</f>
        <v>194.58811002233367</v>
      </c>
      <c r="W31" s="82">
        <f>V31*(1-'3_Giả định'!$D$9)+W30</f>
        <v>201.3102721602223</v>
      </c>
      <c r="X31" s="82">
        <f>W31*(1-'3_Giả định'!$D$9)+X30</f>
        <v>207.94044554587333</v>
      </c>
      <c r="Y31" s="82">
        <f>X31*(1-'3_Giả định'!$D$9)+Y30</f>
        <v>214.49490496384166</v>
      </c>
      <c r="Z31" s="82">
        <f>Y31*(1-'3_Giả định'!$D$9)+Z30</f>
        <v>220.9888015296053</v>
      </c>
    </row>
    <row r="32" spans="1:26" ht="15" customHeight="1" x14ac:dyDescent="0.3">
      <c r="A32" s="53" t="s">
        <v>89</v>
      </c>
      <c r="C32" s="83">
        <f>C31*'3_Giả định'!$D$17</f>
        <v>13278000</v>
      </c>
      <c r="D32" s="83">
        <f>D31*'3_Giả định'!$D$17</f>
        <v>25759320</v>
      </c>
      <c r="E32" s="83">
        <f>E31*'3_Giả định'!$D$17</f>
        <v>37513005.600000001</v>
      </c>
      <c r="F32" s="83">
        <f>F31*'3_Giả định'!$D$17</f>
        <v>48602684.975999996</v>
      </c>
      <c r="G32" s="83">
        <f>G31*'3_Giả định'!$D$17</f>
        <v>59087004.398399986</v>
      </c>
      <c r="H32" s="83">
        <f>H31*'3_Giả định'!$D$17</f>
        <v>69020028.951417595</v>
      </c>
      <c r="I32" s="83">
        <f>I31*'3_Giả định'!$D$17</f>
        <v>78451611.238291577</v>
      </c>
      <c r="J32" s="83">
        <f>J31*'3_Giả định'!$D$17</f>
        <v>87427730.634275392</v>
      </c>
      <c r="K32" s="83">
        <f>K31*'3_Giả định'!$D$17</f>
        <v>95990805.444481447</v>
      </c>
      <c r="L32" s="83">
        <f>L31*'3_Giả định'!$D$17</f>
        <v>104179980.13508998</v>
      </c>
      <c r="M32" s="83">
        <f>M31*'3_Giả định'!$D$17</f>
        <v>112031389.63297318</v>
      </c>
      <c r="N32" s="83">
        <f>N31*'3_Giả định'!$D$17</f>
        <v>119578402.52919953</v>
      </c>
      <c r="O32" s="83">
        <f>O31*'3_Giả định'!$D$17</f>
        <v>126851844.87506503</v>
      </c>
      <c r="P32" s="83">
        <f>P31*'3_Giả định'!$D$17</f>
        <v>133880206.12422532</v>
      </c>
      <c r="Q32" s="83">
        <f>Q31*'3_Giả định'!$D$17</f>
        <v>140689828.65023613</v>
      </c>
      <c r="R32" s="83">
        <f>R31*'3_Giả định'!$D$17</f>
        <v>147305082.15448502</v>
      </c>
      <c r="S32" s="83">
        <f>S31*'3_Giả định'!$D$17</f>
        <v>153748524.17431936</v>
      </c>
      <c r="T32" s="83">
        <f>T31*'3_Giả định'!$D$17</f>
        <v>160041047.80441085</v>
      </c>
      <c r="U32" s="83">
        <f>U31*'3_Giả định'!$D$17</f>
        <v>166202017.65537572</v>
      </c>
      <c r="V32" s="83">
        <f>V31*'3_Giả định'!$D$17</f>
        <v>172249394.99176976</v>
      </c>
      <c r="W32" s="83">
        <f>W31*'3_Giả định'!$D$17</f>
        <v>178199852.91622877</v>
      </c>
      <c r="X32" s="83">
        <f>X31*'3_Giả định'!$D$17</f>
        <v>184068882.39720708</v>
      </c>
      <c r="Y32" s="83">
        <f>Y31*'3_Giả định'!$D$17</f>
        <v>189870889.87399265</v>
      </c>
      <c r="Z32" s="83">
        <f>Z31*'3_Giả định'!$D$17</f>
        <v>195619287.11400661</v>
      </c>
    </row>
    <row r="33" spans="1:26" ht="15" customHeight="1" x14ac:dyDescent="0.3">
      <c r="A33" s="53" t="s">
        <v>393</v>
      </c>
      <c r="C33" s="83">
        <f>C31*'3_Giả định'!$D$18</f>
        <v>5243711.04</v>
      </c>
      <c r="D33" s="83">
        <f>D31*'3_Giả định'!$D$18</f>
        <v>10172799.4176</v>
      </c>
      <c r="E33" s="83">
        <f>E31*'3_Giả định'!$D$18</f>
        <v>14814532.430207999</v>
      </c>
      <c r="F33" s="83">
        <f>F31*'3_Giả định'!$D$18</f>
        <v>19194037.941127677</v>
      </c>
      <c r="G33" s="83">
        <f>G31*'3_Giả định'!$D$18</f>
        <v>23334476.373280507</v>
      </c>
      <c r="H33" s="83">
        <f>H31*'3_Giả định'!$D$18</f>
        <v>27257198.960209973</v>
      </c>
      <c r="I33" s="83">
        <f>I31*'3_Giả định'!$D$18</f>
        <v>30981893.354120925</v>
      </c>
      <c r="J33" s="83">
        <f>J31*'3_Giả định'!$D$18</f>
        <v>34526717.602733545</v>
      </c>
      <c r="K33" s="83">
        <f>K31*'3_Giả định'!$D$18</f>
        <v>37908423.42579601</v>
      </c>
      <c r="L33" s="83">
        <f>L31*'3_Giả định'!$D$18</f>
        <v>41142469.647639103</v>
      </c>
      <c r="M33" s="83">
        <f>M31*'3_Giả định'!$D$18</f>
        <v>44243126.573652878</v>
      </c>
      <c r="N33" s="83">
        <f>N31*'3_Giả định'!$D$18</f>
        <v>47223572.035542056</v>
      </c>
      <c r="O33" s="83">
        <f>O31*'3_Giả định'!$D$18</f>
        <v>50095979.772235721</v>
      </c>
      <c r="P33" s="83">
        <f>P31*'3_Giả định'!$D$18</f>
        <v>52871600.759984627</v>
      </c>
      <c r="Q33" s="83">
        <f>Q31*'3_Giả định'!$D$18</f>
        <v>55560838.056104183</v>
      </c>
      <c r="R33" s="83">
        <f>R31*'3_Giả định'!$D$18</f>
        <v>58173315.675672546</v>
      </c>
      <c r="S33" s="83">
        <f>S31*'3_Giả định'!$D$18</f>
        <v>60717941.978956565</v>
      </c>
      <c r="T33" s="83">
        <f>T31*'3_Giả định'!$D$18</f>
        <v>63202968.009124622</v>
      </c>
      <c r="U33" s="83">
        <f>U31*'3_Giả định'!$D$18</f>
        <v>65636041.184648931</v>
      </c>
      <c r="V33" s="83">
        <f>V31*'3_Giả định'!$D$18</f>
        <v>68024254.718456373</v>
      </c>
      <c r="W33" s="83">
        <f>W31*'3_Giả định'!$D$18</f>
        <v>70374193.106130809</v>
      </c>
      <c r="X33" s="83">
        <f>X31*'3_Giả định'!$D$18</f>
        <v>72691973.99809432</v>
      </c>
      <c r="Y33" s="83">
        <f>Y31*'3_Giả định'!$D$18</f>
        <v>74983286.745509818</v>
      </c>
      <c r="Z33" s="83">
        <f>Z31*'3_Giả định'!$D$18</f>
        <v>77253427.886477336</v>
      </c>
    </row>
    <row r="34" spans="1:26" ht="15" customHeight="1" x14ac:dyDescent="0.3">
      <c r="A34" s="53" t="s">
        <v>91</v>
      </c>
      <c r="C34" s="83">
        <f t="shared" ref="C34:Z34" si="8">C32-C33</f>
        <v>8034288.96</v>
      </c>
      <c r="D34" s="83">
        <f t="shared" si="8"/>
        <v>15586520.5824</v>
      </c>
      <c r="E34" s="83">
        <f t="shared" si="8"/>
        <v>22698473.169792004</v>
      </c>
      <c r="F34" s="83">
        <f t="shared" si="8"/>
        <v>29408647.03487232</v>
      </c>
      <c r="G34" s="83">
        <f t="shared" si="8"/>
        <v>35752528.025119483</v>
      </c>
      <c r="H34" s="83">
        <f t="shared" si="8"/>
        <v>41762829.991207622</v>
      </c>
      <c r="I34" s="83">
        <f t="shared" si="8"/>
        <v>47469717.884170651</v>
      </c>
      <c r="J34" s="83">
        <f t="shared" si="8"/>
        <v>52901013.031541847</v>
      </c>
      <c r="K34" s="83">
        <f t="shared" si="8"/>
        <v>58082382.018685438</v>
      </c>
      <c r="L34" s="83">
        <f t="shared" si="8"/>
        <v>63037510.487450875</v>
      </c>
      <c r="M34" s="83">
        <f t="shared" si="8"/>
        <v>67788263.059320301</v>
      </c>
      <c r="N34" s="83">
        <f t="shared" si="8"/>
        <v>72354830.49365747</v>
      </c>
      <c r="O34" s="83">
        <f t="shared" si="8"/>
        <v>76755865.102829307</v>
      </c>
      <c r="P34" s="83">
        <f t="shared" si="8"/>
        <v>81008605.364240691</v>
      </c>
      <c r="Q34" s="83">
        <f t="shared" si="8"/>
        <v>85128990.594131947</v>
      </c>
      <c r="R34" s="83">
        <f t="shared" si="8"/>
        <v>89131766.478812471</v>
      </c>
      <c r="S34" s="83">
        <f t="shared" si="8"/>
        <v>93030582.195362791</v>
      </c>
      <c r="T34" s="83">
        <f t="shared" si="8"/>
        <v>96838079.795286223</v>
      </c>
      <c r="U34" s="83">
        <f t="shared" si="8"/>
        <v>100565976.47072679</v>
      </c>
      <c r="V34" s="83">
        <f t="shared" si="8"/>
        <v>104225140.27331339</v>
      </c>
      <c r="W34" s="83">
        <f t="shared" si="8"/>
        <v>107825659.81009796</v>
      </c>
      <c r="X34" s="83">
        <f t="shared" si="8"/>
        <v>111376908.39911276</v>
      </c>
      <c r="Y34" s="83">
        <f t="shared" si="8"/>
        <v>114887603.12848283</v>
      </c>
      <c r="Z34" s="83">
        <f t="shared" si="8"/>
        <v>118365859.22752927</v>
      </c>
    </row>
    <row r="35" spans="1:26" ht="15" customHeight="1" x14ac:dyDescent="0.3">
      <c r="A35" s="53" t="s">
        <v>394</v>
      </c>
      <c r="C35" s="83">
        <f>C30*'3_Giả định'!$D$10</f>
        <v>34500000</v>
      </c>
      <c r="D35" s="83">
        <f>D30*'3_Giả định'!$D$10</f>
        <v>35190000</v>
      </c>
      <c r="E35" s="83">
        <f>E30*'3_Giả định'!$D$10</f>
        <v>35893800</v>
      </c>
      <c r="F35" s="83">
        <f>F30*'3_Giả định'!$D$10</f>
        <v>36611675.999999993</v>
      </c>
      <c r="G35" s="83">
        <f>G30*'3_Giả định'!$D$10</f>
        <v>37343909.520000003</v>
      </c>
      <c r="H35" s="83">
        <f>H30*'3_Giả định'!$D$10</f>
        <v>38090787.7104</v>
      </c>
      <c r="I35" s="83">
        <f>I30*'3_Giả định'!$D$10</f>
        <v>38852603.464608006</v>
      </c>
      <c r="J35" s="83">
        <f>J30*'3_Giả định'!$D$10</f>
        <v>39629655.533900157</v>
      </c>
      <c r="K35" s="83">
        <f>K30*'3_Giả định'!$D$10</f>
        <v>40422248.644578166</v>
      </c>
      <c r="L35" s="83">
        <f>L30*'3_Giả định'!$D$10</f>
        <v>41230693.617469721</v>
      </c>
      <c r="M35" s="83">
        <f>M30*'3_Giả định'!$D$10</f>
        <v>42055307.489819117</v>
      </c>
      <c r="N35" s="83">
        <f>N30*'3_Giả định'!$D$10</f>
        <v>42896413.639615491</v>
      </c>
      <c r="O35" s="83">
        <f>O30*'3_Giả định'!$D$10</f>
        <v>43754341.912407808</v>
      </c>
      <c r="P35" s="83">
        <f>P30*'3_Giả định'!$D$10</f>
        <v>44629428.750655971</v>
      </c>
      <c r="Q35" s="83">
        <f>Q30*'3_Giả định'!$D$10</f>
        <v>45522017.325669087</v>
      </c>
      <c r="R35" s="83">
        <f>R30*'3_Giả định'!$D$10</f>
        <v>46432457.672182456</v>
      </c>
      <c r="S35" s="83">
        <f>S30*'3_Giả định'!$D$10</f>
        <v>47361106.825626113</v>
      </c>
      <c r="T35" s="83">
        <f>T30*'3_Giả định'!$D$10</f>
        <v>48308328.962138638</v>
      </c>
      <c r="U35" s="83">
        <f>U30*'3_Giả định'!$D$10</f>
        <v>49274495.541381411</v>
      </c>
      <c r="V35" s="83">
        <f>V30*'3_Giả định'!$D$10</f>
        <v>50259985.452209041</v>
      </c>
      <c r="W35" s="83">
        <f>W30*'3_Giả định'!$D$10</f>
        <v>51265185.161253221</v>
      </c>
      <c r="X35" s="83">
        <f>X30*'3_Giả định'!$D$10</f>
        <v>52290488.864478283</v>
      </c>
      <c r="Y35" s="83">
        <f>Y30*'3_Giả định'!$D$10</f>
        <v>53336298.641767852</v>
      </c>
      <c r="Z35" s="83">
        <f>Z30*'3_Giả định'!$D$10</f>
        <v>54403024.614603199</v>
      </c>
    </row>
    <row r="36" spans="1:26" ht="15" customHeight="1" x14ac:dyDescent="0.3">
      <c r="A36" s="53" t="s">
        <v>395</v>
      </c>
      <c r="C36" s="83">
        <f>'3_Giả định'!$D$11</f>
        <v>150000000</v>
      </c>
      <c r="D36" s="83">
        <f>'3_Giả định'!$D$11</f>
        <v>150000000</v>
      </c>
      <c r="E36" s="83">
        <f>'3_Giả định'!$D$11</f>
        <v>150000000</v>
      </c>
      <c r="F36" s="83">
        <f>'3_Giả định'!$D$11</f>
        <v>150000000</v>
      </c>
      <c r="G36" s="83">
        <f>'3_Giả định'!$D$11</f>
        <v>150000000</v>
      </c>
      <c r="H36" s="83">
        <f>'3_Giả định'!$D$11</f>
        <v>150000000</v>
      </c>
      <c r="I36" s="83">
        <f>'3_Giả định'!$D$11</f>
        <v>150000000</v>
      </c>
      <c r="J36" s="83">
        <f>'3_Giả định'!$D$11</f>
        <v>150000000</v>
      </c>
      <c r="K36" s="83">
        <f>'3_Giả định'!$D$11</f>
        <v>150000000</v>
      </c>
      <c r="L36" s="83">
        <f>'3_Giả định'!$D$11</f>
        <v>150000000</v>
      </c>
      <c r="M36" s="83">
        <f>'3_Giả định'!$D$11</f>
        <v>150000000</v>
      </c>
      <c r="N36" s="83">
        <f>'3_Giả định'!$D$11</f>
        <v>150000000</v>
      </c>
      <c r="O36" s="83">
        <f>'3_Giả định'!$D$11</f>
        <v>150000000</v>
      </c>
      <c r="P36" s="83">
        <f>'3_Giả định'!$D$11</f>
        <v>150000000</v>
      </c>
      <c r="Q36" s="83">
        <f>'3_Giả định'!$D$11</f>
        <v>150000000</v>
      </c>
      <c r="R36" s="83">
        <f>'3_Giả định'!$D$11</f>
        <v>150000000</v>
      </c>
      <c r="S36" s="83">
        <f>'3_Giả định'!$D$11</f>
        <v>150000000</v>
      </c>
      <c r="T36" s="83">
        <f>'3_Giả định'!$D$11</f>
        <v>150000000</v>
      </c>
      <c r="U36" s="83">
        <f>'3_Giả định'!$D$11</f>
        <v>150000000</v>
      </c>
      <c r="V36" s="83">
        <f>'3_Giả định'!$D$11</f>
        <v>150000000</v>
      </c>
      <c r="W36" s="83">
        <f>'3_Giả định'!$D$11</f>
        <v>150000000</v>
      </c>
      <c r="X36" s="83">
        <f>'3_Giả định'!$D$11</f>
        <v>150000000</v>
      </c>
      <c r="Y36" s="83">
        <f>'3_Giả định'!$D$11</f>
        <v>150000000</v>
      </c>
      <c r="Z36" s="83">
        <f>'3_Giả định'!$D$11</f>
        <v>150000000</v>
      </c>
    </row>
    <row r="37" spans="1:26" ht="15" customHeight="1" x14ac:dyDescent="0.3">
      <c r="A37" s="53" t="s">
        <v>396</v>
      </c>
      <c r="B37" s="83">
        <f>-'3_Giả định'!$D$12</f>
        <v>-600000000</v>
      </c>
      <c r="C37" s="83">
        <f t="shared" ref="C37:Z37" si="9">C34-C35-C36</f>
        <v>-176465711.03999999</v>
      </c>
      <c r="D37" s="83">
        <f t="shared" si="9"/>
        <v>-169603479.41760001</v>
      </c>
      <c r="E37" s="83">
        <f t="shared" si="9"/>
        <v>-163195326.830208</v>
      </c>
      <c r="F37" s="83">
        <f t="shared" si="9"/>
        <v>-157203028.96512768</v>
      </c>
      <c r="G37" s="83">
        <f t="shared" si="9"/>
        <v>-151591381.49488053</v>
      </c>
      <c r="H37" s="83">
        <f t="shared" si="9"/>
        <v>-146327957.71919239</v>
      </c>
      <c r="I37" s="83">
        <f t="shared" si="9"/>
        <v>-141382885.58043736</v>
      </c>
      <c r="J37" s="83">
        <f t="shared" si="9"/>
        <v>-136728642.50235832</v>
      </c>
      <c r="K37" s="83">
        <f t="shared" si="9"/>
        <v>-132339866.62589273</v>
      </c>
      <c r="L37" s="83">
        <f t="shared" si="9"/>
        <v>-128193183.13001885</v>
      </c>
      <c r="M37" s="83">
        <f t="shared" si="9"/>
        <v>-124267044.43049881</v>
      </c>
      <c r="N37" s="83">
        <f t="shared" si="9"/>
        <v>-120541583.14595802</v>
      </c>
      <c r="O37" s="83">
        <f t="shared" si="9"/>
        <v>-116998476.80957851</v>
      </c>
      <c r="P37" s="83">
        <f t="shared" si="9"/>
        <v>-113620823.38641527</v>
      </c>
      <c r="Q37" s="83">
        <f t="shared" si="9"/>
        <v>-110393026.73153713</v>
      </c>
      <c r="R37" s="83">
        <f t="shared" si="9"/>
        <v>-107300691.19336998</v>
      </c>
      <c r="S37" s="83">
        <f t="shared" si="9"/>
        <v>-104330524.63026333</v>
      </c>
      <c r="T37" s="83">
        <f t="shared" si="9"/>
        <v>-101470249.16685241</v>
      </c>
      <c r="U37" s="83">
        <f t="shared" si="9"/>
        <v>-98708519.070654631</v>
      </c>
      <c r="V37" s="83">
        <f t="shared" si="9"/>
        <v>-96034845.178895652</v>
      </c>
      <c r="W37" s="83">
        <f t="shared" si="9"/>
        <v>-93439525.351155251</v>
      </c>
      <c r="X37" s="83">
        <f t="shared" si="9"/>
        <v>-90913580.465365529</v>
      </c>
      <c r="Y37" s="83">
        <f t="shared" si="9"/>
        <v>-88448695.513285011</v>
      </c>
      <c r="Z37" s="83">
        <f t="shared" si="9"/>
        <v>-86037165.387073934</v>
      </c>
    </row>
    <row r="38" spans="1:26" ht="15" customHeight="1" x14ac:dyDescent="0.3">
      <c r="A38" s="53" t="s">
        <v>397</v>
      </c>
      <c r="B38" s="83">
        <f>'3_Giả định'!$D$13+B37</f>
        <v>1400000000</v>
      </c>
      <c r="C38" s="83">
        <f t="shared" ref="C38:Z38" si="10">B38+C37</f>
        <v>1223534288.96</v>
      </c>
      <c r="D38" s="83">
        <f t="shared" si="10"/>
        <v>1053930809.5424</v>
      </c>
      <c r="E38" s="83">
        <f t="shared" si="10"/>
        <v>890735482.71219206</v>
      </c>
      <c r="F38" s="83">
        <f t="shared" si="10"/>
        <v>733532453.74706435</v>
      </c>
      <c r="G38" s="83">
        <f t="shared" si="10"/>
        <v>581941072.25218379</v>
      </c>
      <c r="H38" s="83">
        <f t="shared" si="10"/>
        <v>435613114.53299141</v>
      </c>
      <c r="I38" s="83">
        <f t="shared" si="10"/>
        <v>294230228.95255405</v>
      </c>
      <c r="J38" s="83">
        <f t="shared" si="10"/>
        <v>157501586.45019573</v>
      </c>
      <c r="K38" s="83">
        <f t="shared" si="10"/>
        <v>25161719.824303001</v>
      </c>
      <c r="L38" s="83">
        <f t="shared" si="10"/>
        <v>-103031463.30571584</v>
      </c>
      <c r="M38" s="83">
        <f t="shared" si="10"/>
        <v>-227298507.73621464</v>
      </c>
      <c r="N38" s="83">
        <f t="shared" si="10"/>
        <v>-347840090.88217264</v>
      </c>
      <c r="O38" s="83">
        <f t="shared" si="10"/>
        <v>-464838567.69175112</v>
      </c>
      <c r="P38" s="83">
        <f t="shared" si="10"/>
        <v>-578459391.07816637</v>
      </c>
      <c r="Q38" s="83">
        <f t="shared" si="10"/>
        <v>-688852417.80970347</v>
      </c>
      <c r="R38" s="83">
        <f t="shared" si="10"/>
        <v>-796153109.00307345</v>
      </c>
      <c r="S38" s="83">
        <f t="shared" si="10"/>
        <v>-900483633.63333678</v>
      </c>
      <c r="T38" s="83">
        <f t="shared" si="10"/>
        <v>-1001953882.8001893</v>
      </c>
      <c r="U38" s="83">
        <f t="shared" si="10"/>
        <v>-1100662401.8708439</v>
      </c>
      <c r="V38" s="83">
        <f t="shared" si="10"/>
        <v>-1196697247.0497396</v>
      </c>
      <c r="W38" s="83">
        <f t="shared" si="10"/>
        <v>-1290136772.4008949</v>
      </c>
      <c r="X38" s="83">
        <f t="shared" si="10"/>
        <v>-1381050352.8662605</v>
      </c>
      <c r="Y38" s="83">
        <f t="shared" si="10"/>
        <v>-1469499048.3795455</v>
      </c>
      <c r="Z38" s="83">
        <f t="shared" si="10"/>
        <v>-1555536213.7666194</v>
      </c>
    </row>
    <row r="39" spans="1:26" ht="15" customHeight="1" x14ac:dyDescent="0.3">
      <c r="A39" s="53" t="s">
        <v>398</v>
      </c>
      <c r="B39" s="83">
        <f>B37</f>
        <v>-600000000</v>
      </c>
      <c r="C39" s="83">
        <f t="shared" ref="C39:Z39" si="11">B39+C37</f>
        <v>-776465711.03999996</v>
      </c>
      <c r="D39" s="83">
        <f t="shared" si="11"/>
        <v>-946069190.4576</v>
      </c>
      <c r="E39" s="83">
        <f t="shared" si="11"/>
        <v>-1109264517.2878079</v>
      </c>
      <c r="F39" s="83">
        <f t="shared" si="11"/>
        <v>-1266467546.2529356</v>
      </c>
      <c r="G39" s="83">
        <f t="shared" si="11"/>
        <v>-1418058927.7478161</v>
      </c>
      <c r="H39" s="83">
        <f t="shared" si="11"/>
        <v>-1564386885.4670086</v>
      </c>
      <c r="I39" s="83">
        <f t="shared" si="11"/>
        <v>-1705769771.047446</v>
      </c>
      <c r="J39" s="83">
        <f t="shared" si="11"/>
        <v>-1842498413.5498042</v>
      </c>
      <c r="K39" s="83">
        <f t="shared" si="11"/>
        <v>-1974838280.1756968</v>
      </c>
      <c r="L39" s="83">
        <f t="shared" si="11"/>
        <v>-2103031463.3057158</v>
      </c>
      <c r="M39" s="83">
        <f t="shared" si="11"/>
        <v>-2227298507.7362146</v>
      </c>
      <c r="N39" s="83">
        <f t="shared" si="11"/>
        <v>-2347840090.8821726</v>
      </c>
      <c r="O39" s="83">
        <f t="shared" si="11"/>
        <v>-2464838567.691751</v>
      </c>
      <c r="P39" s="83">
        <f t="shared" si="11"/>
        <v>-2578459391.0781665</v>
      </c>
      <c r="Q39" s="83">
        <f t="shared" si="11"/>
        <v>-2688852417.8097038</v>
      </c>
      <c r="R39" s="83">
        <f t="shared" si="11"/>
        <v>-2796153109.0030737</v>
      </c>
      <c r="S39" s="83">
        <f t="shared" si="11"/>
        <v>-2900483633.633337</v>
      </c>
      <c r="T39" s="83">
        <f t="shared" si="11"/>
        <v>-3001953882.8001895</v>
      </c>
      <c r="U39" s="83">
        <f t="shared" si="11"/>
        <v>-3100662401.8708439</v>
      </c>
      <c r="V39" s="83">
        <f t="shared" si="11"/>
        <v>-3196697247.0497394</v>
      </c>
      <c r="W39" s="83">
        <f t="shared" si="11"/>
        <v>-3290136772.4008946</v>
      </c>
      <c r="X39" s="83">
        <f t="shared" si="11"/>
        <v>-3381050352.8662601</v>
      </c>
      <c r="Y39" s="83">
        <f t="shared" si="11"/>
        <v>-3469499048.3795452</v>
      </c>
      <c r="Z39" s="83">
        <f t="shared" si="11"/>
        <v>-3555536213.7666192</v>
      </c>
    </row>
    <row r="42" spans="1:26" ht="15" customHeight="1" x14ac:dyDescent="0.3">
      <c r="A42" s="84" t="s">
        <v>401</v>
      </c>
    </row>
    <row r="43" spans="1:26" ht="26.25" customHeight="1" x14ac:dyDescent="0.3">
      <c r="A43" s="24" t="s">
        <v>350</v>
      </c>
      <c r="B43" s="24" t="s">
        <v>304</v>
      </c>
      <c r="C43" s="24" t="s">
        <v>305</v>
      </c>
      <c r="D43" s="24" t="s">
        <v>306</v>
      </c>
      <c r="E43" s="24" t="s">
        <v>351</v>
      </c>
    </row>
    <row r="44" spans="1:26" ht="31.5" customHeight="1" x14ac:dyDescent="0.3">
      <c r="A44" s="21" t="s">
        <v>402</v>
      </c>
      <c r="B44" s="54">
        <f>B13+NPV('3_Giả định'!$B$14/12,C13:Z13)</f>
        <v>9170277441.3239632</v>
      </c>
      <c r="C44" s="54">
        <f>B25+NPV('3_Giả định'!$C$14/12,C25:Z25)</f>
        <v>1265447717.0086987</v>
      </c>
      <c r="D44" s="54">
        <f>B37+NPV('3_Giả định'!$D$14/12,C37:Z37)</f>
        <v>-3186591034.6154385</v>
      </c>
      <c r="E44" t="s">
        <v>403</v>
      </c>
    </row>
    <row r="45" spans="1:26" ht="15" customHeight="1" x14ac:dyDescent="0.3">
      <c r="A45" s="53" t="s">
        <v>404</v>
      </c>
      <c r="B45" s="56">
        <f>IFERROR((1+IRR(B13:Z13,0.01))^12-1,"Không tính được")</f>
        <v>5.4252465387952196</v>
      </c>
      <c r="C45" s="56">
        <f>IFERROR((1+IRR(B25:Z25,0.01))^12-1,"Không tính được")</f>
        <v>0.85462626933018937</v>
      </c>
      <c r="D45" s="56" t="str">
        <f>IFERROR((1+IRR(B37:Z37,0.01))^12-1,"Không tính được")</f>
        <v>Không tính được</v>
      </c>
      <c r="E45" t="s">
        <v>405</v>
      </c>
      <c r="F45" s="57" t="s">
        <v>406</v>
      </c>
    </row>
    <row r="46" spans="1:26" ht="15" customHeight="1" x14ac:dyDescent="0.3">
      <c r="A46" s="53" t="s">
        <v>407</v>
      </c>
      <c r="B46" s="54">
        <f>MIN(B14:Z14)</f>
        <v>982472797.34208822</v>
      </c>
      <c r="C46" s="54">
        <f>MIN(B26:Z26)</f>
        <v>658403757.46073556</v>
      </c>
      <c r="D46" s="54">
        <f>MIN(B38:Z38)</f>
        <v>-1555536213.7666194</v>
      </c>
      <c r="E46" t="s">
        <v>403</v>
      </c>
    </row>
    <row r="47" spans="1:26" ht="15" customHeight="1" x14ac:dyDescent="0.3">
      <c r="A47" s="53" t="s">
        <v>408</v>
      </c>
      <c r="B47" s="85" t="str">
        <f>IF('3_Giả định'!B7=0,"Chưa điền",IFERROR(MATCH(TRUE(),INDEX(C14:Z14&lt;0,0),0),"Không hết tiền trong 24 tháng"))</f>
        <v>Không hết tiền trong 24 tháng</v>
      </c>
      <c r="C47" s="85" t="str">
        <f>IF('3_Giả định'!C7=0,"Chưa điền",IFERROR(MATCH(TRUE(),INDEX(C26:Z26&lt;0,0),0),"Không hết tiền trong 24 tháng"))</f>
        <v>Không hết tiền trong 24 tháng</v>
      </c>
      <c r="D47" s="85">
        <f>IF('3_Giả định'!D7=0,"Chưa điền",IFERROR(MATCH(TRUE(),INDEX(C38:Z38&lt;0,0),0),"Không hết tiền trong 24 tháng"))</f>
        <v>10</v>
      </c>
      <c r="E47" t="s">
        <v>409</v>
      </c>
      <c r="F47" s="57" t="s">
        <v>410</v>
      </c>
    </row>
    <row r="48" spans="1:26" ht="15" customHeight="1" x14ac:dyDescent="0.3">
      <c r="A48" s="53" t="s">
        <v>411</v>
      </c>
      <c r="B48" s="85">
        <f>IF('3_Giả định'!B7=0,"Chưa điền",IFERROR(MATCH(TRUE(),INDEX(C15:Z15&gt;=0,0),0),"Chưa hoàn vốn trong 24 tháng"))</f>
        <v>12</v>
      </c>
      <c r="C48" s="85">
        <f>IF('3_Giả định'!C7=0,"Chưa điền",IFERROR(MATCH(TRUE(),INDEX(C27:Z27&gt;=0,0),0),"Chưa hoàn vốn trong 24 tháng"))</f>
        <v>19</v>
      </c>
      <c r="D48" s="85" t="str">
        <f>IF('3_Giả định'!D7=0,"Chưa điền",IFERROR(MATCH(TRUE(),INDEX(C39:Z39&gt;=0,0),0),"Chưa hoàn vốn trong 24 tháng"))</f>
        <v>Chưa hoàn vốn trong 24 tháng</v>
      </c>
      <c r="E48" t="s">
        <v>412</v>
      </c>
    </row>
    <row r="49" spans="1:8" ht="15" customHeight="1" x14ac:dyDescent="0.3">
      <c r="A49" s="53" t="s">
        <v>413</v>
      </c>
      <c r="B49" s="65">
        <f>Z7</f>
        <v>2130.82309648305</v>
      </c>
      <c r="C49" s="65">
        <f>Z19</f>
        <v>879.93327581247786</v>
      </c>
      <c r="D49" s="65">
        <f>Z31</f>
        <v>220.9888015296053</v>
      </c>
    </row>
    <row r="50" spans="1:8" ht="15" customHeight="1" x14ac:dyDescent="0.3">
      <c r="A50" s="53" t="s">
        <v>414</v>
      </c>
      <c r="B50" s="54">
        <f>Z8</f>
        <v>2593531331.8843441</v>
      </c>
      <c r="C50" s="54">
        <f>Z20</f>
        <v>973646169.68650675</v>
      </c>
      <c r="D50" s="54">
        <f>Z32</f>
        <v>195619287.11400661</v>
      </c>
    </row>
    <row r="53" spans="1:8" ht="15" customHeight="1" x14ac:dyDescent="0.3">
      <c r="A53" s="84" t="s">
        <v>415</v>
      </c>
    </row>
    <row r="54" spans="1:8" ht="15" customHeight="1" x14ac:dyDescent="0.3">
      <c r="A54" s="86" t="s">
        <v>416</v>
      </c>
      <c r="B54" s="87">
        <v>0.2</v>
      </c>
      <c r="C54" s="57" t="s">
        <v>417</v>
      </c>
    </row>
    <row r="56" spans="1:8" ht="45" customHeight="1" x14ac:dyDescent="0.3">
      <c r="A56" s="88" t="s">
        <v>418</v>
      </c>
      <c r="B56" s="89" t="s">
        <v>419</v>
      </c>
      <c r="C56" s="89" t="s">
        <v>420</v>
      </c>
      <c r="D56" s="89" t="s">
        <v>421</v>
      </c>
      <c r="E56" s="89" t="s">
        <v>422</v>
      </c>
      <c r="F56" s="89" t="s">
        <v>408</v>
      </c>
      <c r="G56" s="89" t="s">
        <v>423</v>
      </c>
      <c r="H56" s="89" t="s">
        <v>424</v>
      </c>
    </row>
    <row r="57" spans="1:8" ht="27.75" customHeight="1" x14ac:dyDescent="0.3">
      <c r="A57" s="15" t="s">
        <v>425</v>
      </c>
      <c r="B57" s="90" t="s">
        <v>426</v>
      </c>
      <c r="C57" s="90" t="s">
        <v>426</v>
      </c>
      <c r="D57" s="91">
        <f>(B94+NPV($K$80/12,C94:Z94))/1000000</f>
        <v>1265.4477170086984</v>
      </c>
      <c r="E57" s="90" t="s">
        <v>426</v>
      </c>
      <c r="F57" s="92" t="str">
        <f>IFERROR(MATCH(TRUE(),INDEX(C95:Z95&lt;0,0),0),"Không hết tiền trong 24 tháng")</f>
        <v>Không hết tiền trong 24 tháng</v>
      </c>
      <c r="G57" s="92">
        <f>IFERROR(MATCH(TRUE(),INDEX(C96:Z96&gt;=0,0),0),"Chưa hoàn vốn trong 24 tháng")</f>
        <v>19</v>
      </c>
    </row>
    <row r="58" spans="1:8" ht="27.75" customHeight="1" x14ac:dyDescent="0.3">
      <c r="A58" s="86" t="s">
        <v>427</v>
      </c>
      <c r="B58" s="91">
        <f>'3_Giả định'!$C$17</f>
        <v>1106500</v>
      </c>
      <c r="C58" s="91">
        <f>B81</f>
        <v>885200</v>
      </c>
      <c r="D58" s="91">
        <f>(B100+NPV($K$81/12,C100:Z100))/1000000</f>
        <v>-534.81777529673104</v>
      </c>
      <c r="E58" s="91">
        <f t="shared" ref="E58:E64" si="12">D58-$D$57</f>
        <v>-1800.2654923054295</v>
      </c>
      <c r="F58" s="92" t="str">
        <f>IFERROR(MATCH(TRUE(),INDEX(C101:Z101&lt;0,0),0),"Không hết tiền trong 24 tháng")</f>
        <v>Không hết tiền trong 24 tháng</v>
      </c>
      <c r="G58" s="92" t="str">
        <f>IFERROR(MATCH(TRUE(),INDEX(C102:Z102&gt;=0,0),0),"Chưa hoàn vốn trong 24 tháng")</f>
        <v>Chưa hoàn vốn trong 24 tháng</v>
      </c>
      <c r="H58" s="93">
        <f t="shared" ref="H58:H64" si="13">RANK(D58,$D$58:$D$64,1)</f>
        <v>1</v>
      </c>
    </row>
    <row r="59" spans="1:8" ht="27.75" customHeight="1" x14ac:dyDescent="0.3">
      <c r="A59" s="86" t="s">
        <v>428</v>
      </c>
      <c r="B59" s="91">
        <f>'3_Giả định'!$C$18</f>
        <v>291317.27999999997</v>
      </c>
      <c r="C59" s="91">
        <f>C82</f>
        <v>349580.73599999998</v>
      </c>
      <c r="D59" s="91">
        <f>(B106+NPV($K$82/12,C106:Z106))/1000000</f>
        <v>791.47713725607423</v>
      </c>
      <c r="E59" s="91">
        <f t="shared" si="12"/>
        <v>-473.97057975262419</v>
      </c>
      <c r="F59" s="92" t="str">
        <f>IFERROR(MATCH(TRUE(),INDEX(C107:Z107&lt;0,0),0),"Không hết tiền trong 24 tháng")</f>
        <v>Không hết tiền trong 24 tháng</v>
      </c>
      <c r="G59" s="92">
        <f>IFERROR(MATCH(TRUE(),INDEX(C108:Z108&gt;=0,0),0),"Chưa hoàn vốn trong 24 tháng")</f>
        <v>20</v>
      </c>
      <c r="H59" s="93">
        <f t="shared" si="13"/>
        <v>4</v>
      </c>
    </row>
    <row r="60" spans="1:8" ht="27.75" customHeight="1" x14ac:dyDescent="0.3">
      <c r="A60" s="86" t="s">
        <v>429</v>
      </c>
      <c r="B60" s="94">
        <f>'3_Giả định'!$C$9</f>
        <v>0.05</v>
      </c>
      <c r="C60" s="94">
        <f>F83</f>
        <v>0.06</v>
      </c>
      <c r="D60" s="91">
        <f>(B112+NPV($K$83/12,C112:Z112))/1000000</f>
        <v>911.59721330630566</v>
      </c>
      <c r="E60" s="91">
        <f t="shared" si="12"/>
        <v>-353.85050370239276</v>
      </c>
      <c r="F60" s="92" t="str">
        <f>IFERROR(MATCH(TRUE(),INDEX(C113:Z113&lt;0,0),0),"Không hết tiền trong 24 tháng")</f>
        <v>Không hết tiền trong 24 tháng</v>
      </c>
      <c r="G60" s="92">
        <f>IFERROR(MATCH(TRUE(),INDEX(C114:Z114&gt;=0,0),0),"Chưa hoàn vốn trong 24 tháng")</f>
        <v>20</v>
      </c>
      <c r="H60" s="93">
        <f t="shared" si="13"/>
        <v>6</v>
      </c>
    </row>
    <row r="61" spans="1:8" ht="27.75" customHeight="1" x14ac:dyDescent="0.3">
      <c r="A61" s="86" t="s">
        <v>430</v>
      </c>
      <c r="B61" s="91">
        <f>'3_Giả định'!$C$10</f>
        <v>1500000</v>
      </c>
      <c r="C61" s="91">
        <f>G84</f>
        <v>1800000</v>
      </c>
      <c r="D61" s="91">
        <f>(B118+NPV($K$84/12,C118:Z118))/1000000</f>
        <v>930.96938320456286</v>
      </c>
      <c r="E61" s="91">
        <f t="shared" si="12"/>
        <v>-334.47833380413556</v>
      </c>
      <c r="F61" s="92" t="str">
        <f>IFERROR(MATCH(TRUE(),INDEX(C119:Z119&lt;0,0),0),"Không hết tiền trong 24 tháng")</f>
        <v>Không hết tiền trong 24 tháng</v>
      </c>
      <c r="G61" s="92">
        <f>IFERROR(MATCH(TRUE(),INDEX(C120:Z120&gt;=0,0),0),"Chưa hoàn vốn trong 24 tháng")</f>
        <v>20</v>
      </c>
      <c r="H61" s="93">
        <f t="shared" si="13"/>
        <v>7</v>
      </c>
    </row>
    <row r="62" spans="1:8" ht="27.75" customHeight="1" x14ac:dyDescent="0.3">
      <c r="A62" s="86" t="s">
        <v>431</v>
      </c>
      <c r="B62" s="95">
        <f>'3_Giả định'!$C$7</f>
        <v>30</v>
      </c>
      <c r="C62" s="95">
        <f>D85</f>
        <v>24</v>
      </c>
      <c r="D62" s="91">
        <f>(B124+NPV($K$85/12,C124:Z124))/1000000</f>
        <v>273.63113826003013</v>
      </c>
      <c r="E62" s="91">
        <f t="shared" si="12"/>
        <v>-991.81657874866823</v>
      </c>
      <c r="F62" s="92" t="str">
        <f>IFERROR(MATCH(TRUE(),INDEX(C125:Z125&lt;0,0),0),"Không hết tiền trong 24 tháng")</f>
        <v>Không hết tiền trong 24 tháng</v>
      </c>
      <c r="G62" s="92">
        <f>IFERROR(MATCH(TRUE(),INDEX(C126:Z126&gt;=0,0),0),"Chưa hoàn vốn trong 24 tháng")</f>
        <v>22</v>
      </c>
      <c r="H62" s="93">
        <f t="shared" si="13"/>
        <v>2</v>
      </c>
    </row>
    <row r="63" spans="1:8" ht="27.75" customHeight="1" x14ac:dyDescent="0.3">
      <c r="A63" s="86" t="s">
        <v>432</v>
      </c>
      <c r="B63" s="94">
        <f>'3_Giả định'!$C$8</f>
        <v>0.05</v>
      </c>
      <c r="C63" s="94">
        <f>E86</f>
        <v>4.0000000000000008E-2</v>
      </c>
      <c r="D63" s="91">
        <f>(B130+NPV($K$86/12,C130:Z130))/1000000</f>
        <v>868.47899235628677</v>
      </c>
      <c r="E63" s="91">
        <f t="shared" si="12"/>
        <v>-396.96872465241165</v>
      </c>
      <c r="F63" s="92" t="str">
        <f>IFERROR(MATCH(TRUE(),INDEX(C131:Z131&lt;0,0),0),"Không hết tiền trong 24 tháng")</f>
        <v>Không hết tiền trong 24 tháng</v>
      </c>
      <c r="G63" s="92">
        <f>IFERROR(MATCH(TRUE(),INDEX(C132:Z132&gt;=0,0),0),"Chưa hoàn vốn trong 24 tháng")</f>
        <v>20</v>
      </c>
      <c r="H63" s="93">
        <f t="shared" si="13"/>
        <v>5</v>
      </c>
    </row>
    <row r="64" spans="1:8" ht="27.75" customHeight="1" x14ac:dyDescent="0.3">
      <c r="A64" s="86" t="s">
        <v>433</v>
      </c>
      <c r="B64" s="91">
        <f>'3_Giả định'!$C$11</f>
        <v>150000000</v>
      </c>
      <c r="C64" s="91">
        <f>H87</f>
        <v>180000000</v>
      </c>
      <c r="D64" s="91">
        <f>(B136+NPV($K$87/12,C136:Z136))/1000000</f>
        <v>646.72068166176825</v>
      </c>
      <c r="E64" s="91">
        <f t="shared" si="12"/>
        <v>-618.72703534693017</v>
      </c>
      <c r="F64" s="92" t="str">
        <f>IFERROR(MATCH(TRUE(),INDEX(C137:Z137&lt;0,0),0),"Không hết tiền trong 24 tháng")</f>
        <v>Không hết tiền trong 24 tháng</v>
      </c>
      <c r="G64" s="92">
        <f>IFERROR(MATCH(TRUE(),INDEX(C138:Z138&gt;=0,0),0),"Chưa hoàn vốn trong 24 tháng")</f>
        <v>21</v>
      </c>
      <c r="H64" s="93">
        <f t="shared" si="13"/>
        <v>3</v>
      </c>
    </row>
    <row r="66" spans="1:11" ht="15" customHeight="1" x14ac:dyDescent="0.3">
      <c r="A66" s="15" t="s">
        <v>434</v>
      </c>
      <c r="B66" s="96" t="str">
        <f>IF(MAX(D58:D64)-MIN(D58:D64)&lt;0.5,"Chưa đủ số liệu",INDEX(A58:A64,MATCH(MIN(D58:D64),D58:D64,0)))</f>
        <v>Doanh thu bình quân giảm</v>
      </c>
    </row>
    <row r="68" spans="1:11" ht="31.5" customHeight="1" x14ac:dyDescent="0.3">
      <c r="A68" s="97" t="s">
        <v>435</v>
      </c>
      <c r="B68" s="90" t="s">
        <v>426</v>
      </c>
      <c r="C68" s="90" t="s">
        <v>426</v>
      </c>
      <c r="D68" s="91">
        <f>(B142+NPV($K$88/12,C142:Z142))/1000000</f>
        <v>-2315.1324537089417</v>
      </c>
      <c r="E68" s="91">
        <f>D68-$D$57</f>
        <v>-3580.5801707176402</v>
      </c>
      <c r="F68" s="92">
        <f>IFERROR(MATCH(TRUE(),INDEX(C143:Z143&lt;0,0),0),"Không hết tiền trong 24 tháng")</f>
        <v>10</v>
      </c>
      <c r="G68" s="92" t="str">
        <f>IFERROR(MATCH(TRUE(),INDEX(C144:Z144&gt;=0,0),0),"Chưa hoàn vốn trong 24 tháng")</f>
        <v>Chưa hoàn vốn trong 24 tháng</v>
      </c>
    </row>
    <row r="69" spans="1:11" ht="15" customHeight="1" x14ac:dyDescent="0.3">
      <c r="A69" s="57" t="s">
        <v>436</v>
      </c>
    </row>
    <row r="70" spans="1:11" ht="15" customHeight="1" x14ac:dyDescent="0.3">
      <c r="A70" s="84" t="s">
        <v>437</v>
      </c>
    </row>
    <row r="71" spans="1:11" ht="45" customHeight="1" x14ac:dyDescent="0.3">
      <c r="A71" s="24" t="s">
        <v>350</v>
      </c>
      <c r="B71" s="24" t="s">
        <v>438</v>
      </c>
      <c r="C71" s="24" t="s">
        <v>439</v>
      </c>
      <c r="D71" s="62" t="s">
        <v>440</v>
      </c>
      <c r="E71" s="7" t="s">
        <v>441</v>
      </c>
      <c r="F71" s="7"/>
      <c r="G71" s="7"/>
      <c r="H71" s="7"/>
    </row>
    <row r="72" spans="1:11" ht="15" customHeight="1" x14ac:dyDescent="0.3">
      <c r="A72" s="31" t="s">
        <v>442</v>
      </c>
      <c r="B72" s="33">
        <f>'3_Giả định'!C17</f>
        <v>1106500</v>
      </c>
      <c r="C72" s="35">
        <f>IFERROR(B72*(1-$B$54*$D$57/($D$57-$D$58)),"")</f>
        <v>950943.17742523656</v>
      </c>
      <c r="D72" s="37">
        <f>IFERROR(C72/B72-1,"")</f>
        <v>-0.14058456626729643</v>
      </c>
      <c r="E72" s="6" t="s">
        <v>443</v>
      </c>
      <c r="F72" s="6"/>
      <c r="G72" s="6"/>
      <c r="H72" s="6"/>
    </row>
    <row r="73" spans="1:11" ht="15" customHeight="1" x14ac:dyDescent="0.3">
      <c r="A73" s="31" t="s">
        <v>99</v>
      </c>
      <c r="B73" s="98">
        <f>'4_Chỉ số mỗi khách'!C7</f>
        <v>0.73672184365115223</v>
      </c>
      <c r="C73" s="71">
        <f>IFERROR(1-('3_Giả định'!C18*(1+$B$54*$D$57/($D$57-$D$59)))/'3_Giả định'!C17,"")</f>
        <v>0.5961372773838558</v>
      </c>
      <c r="D73" s="98">
        <f>IFERROR(C73-B73,"")</f>
        <v>-0.14058456626729643</v>
      </c>
      <c r="E73" s="6" t="s">
        <v>444</v>
      </c>
      <c r="F73" s="6"/>
      <c r="G73" s="6"/>
      <c r="H73" s="6"/>
    </row>
    <row r="74" spans="1:11" ht="15" customHeight="1" x14ac:dyDescent="0.3">
      <c r="A74" s="31" t="s">
        <v>445</v>
      </c>
      <c r="B74" s="33">
        <f>'3_Giả định'!C10</f>
        <v>1500000</v>
      </c>
      <c r="C74" s="35">
        <f>IFERROR(B74*(1+$B$54*$D$57/($D$57-$D$61)),"")</f>
        <v>2635004.2042630971</v>
      </c>
      <c r="D74" s="37">
        <f>IFERROR(C74/B74-1,"")</f>
        <v>0.75666946950873148</v>
      </c>
      <c r="E74" s="5" t="str">
        <f>IFERROR("Trên mức này là 'nguy'. Tương ứng LTV ÷ CAC = "&amp;ROUND('4_Chỉ số mỗi khách'!C9/C74,1)&amp;", không phải 3","")</f>
        <v>Trên mức này là 'nguy'. Tương ứng LTV ÷ CAC = 6.2, không phải 3</v>
      </c>
      <c r="F74" s="5"/>
      <c r="G74" s="5"/>
      <c r="H74" s="5"/>
    </row>
    <row r="75" spans="1:11" ht="15" customHeight="1" x14ac:dyDescent="0.3">
      <c r="A75" s="31" t="s">
        <v>446</v>
      </c>
      <c r="B75" s="99">
        <f>'3_Giả định'!C7</f>
        <v>30</v>
      </c>
      <c r="C75" s="100">
        <f>IFERROR(B75*(1-$B$54*$D$57/($D$57-$D$62)),"")</f>
        <v>22.344666882225791</v>
      </c>
      <c r="D75" s="37">
        <f>IFERROR(C75/B75-1,"")</f>
        <v>-0.2551777705924736</v>
      </c>
      <c r="E75" s="6" t="s">
        <v>447</v>
      </c>
      <c r="F75" s="6"/>
      <c r="G75" s="6"/>
      <c r="H75" s="6"/>
    </row>
    <row r="76" spans="1:11" ht="15" customHeight="1" x14ac:dyDescent="0.3">
      <c r="A76" s="31" t="s">
        <v>448</v>
      </c>
      <c r="B76" s="33">
        <f>'3_Giả định'!C11</f>
        <v>150000000</v>
      </c>
      <c r="C76" s="35">
        <f>IFERROR(B76*(1+$B$54*$D$57/($D$57-$D$64)),"")</f>
        <v>211357318.0764184</v>
      </c>
      <c r="D76" s="37">
        <f>IFERROR(C76/B76-1,"")</f>
        <v>0.40904878717612259</v>
      </c>
      <c r="E76" s="6" t="s">
        <v>449</v>
      </c>
      <c r="F76" s="6"/>
      <c r="G76" s="6"/>
      <c r="H76" s="6"/>
    </row>
    <row r="77" spans="1:11" ht="15" customHeight="1" x14ac:dyDescent="0.3">
      <c r="A77" s="31" t="s">
        <v>450</v>
      </c>
      <c r="B77" s="98">
        <f>'2_Định giá'!B27</f>
        <v>0</v>
      </c>
      <c r="C77" s="71">
        <f>IFERROR(1-C72/('2_Định giá'!D17*'3_Giả định'!C5),"")</f>
        <v>0.14058456626729643</v>
      </c>
      <c r="D77" s="98">
        <f>IFERROR(C77-B77,"")</f>
        <v>0.14058456626729643</v>
      </c>
      <c r="E77" s="6" t="s">
        <v>451</v>
      </c>
      <c r="F77" s="6"/>
      <c r="G77" s="6"/>
      <c r="H77" s="6"/>
    </row>
    <row r="78" spans="1:11" ht="15" customHeight="1" x14ac:dyDescent="0.3">
      <c r="A78" s="101" t="s">
        <v>452</v>
      </c>
    </row>
    <row r="79" spans="1:11" ht="15" hidden="1" customHeight="1" outlineLevel="1" x14ac:dyDescent="0.3">
      <c r="A79" s="101" t="s">
        <v>453</v>
      </c>
      <c r="B79" s="101" t="s">
        <v>454</v>
      </c>
      <c r="C79" s="101" t="s">
        <v>455</v>
      </c>
      <c r="D79" s="101" t="s">
        <v>456</v>
      </c>
      <c r="E79" s="101" t="s">
        <v>457</v>
      </c>
      <c r="F79" s="101" t="s">
        <v>458</v>
      </c>
      <c r="G79" s="101" t="s">
        <v>459</v>
      </c>
      <c r="H79" s="101" t="s">
        <v>395</v>
      </c>
      <c r="I79" s="101" t="s">
        <v>460</v>
      </c>
      <c r="J79" s="101" t="s">
        <v>461</v>
      </c>
      <c r="K79" s="101" t="s">
        <v>462</v>
      </c>
    </row>
    <row r="80" spans="1:11" ht="15" hidden="1" customHeight="1" outlineLevel="1" x14ac:dyDescent="0.3">
      <c r="A80" s="101" t="s">
        <v>463</v>
      </c>
      <c r="B80" s="102">
        <f>'3_Giả định'!$C$17</f>
        <v>1106500</v>
      </c>
      <c r="C80" s="102">
        <f>'3_Giả định'!$C$18</f>
        <v>291317.27999999997</v>
      </c>
      <c r="D80" s="103">
        <f>'3_Giả định'!$C$7</f>
        <v>30</v>
      </c>
      <c r="E80" s="104">
        <f>'3_Giả định'!$C$8</f>
        <v>0.05</v>
      </c>
      <c r="F80" s="104">
        <f>'3_Giả định'!$C$9</f>
        <v>0.05</v>
      </c>
      <c r="G80" s="102">
        <f>'3_Giả định'!$C$10</f>
        <v>1500000</v>
      </c>
      <c r="H80" s="102">
        <f>'3_Giả định'!$C$11</f>
        <v>150000000</v>
      </c>
      <c r="I80" s="102">
        <f>'3_Giả định'!$C$12</f>
        <v>600000000</v>
      </c>
      <c r="J80" s="102">
        <f>'3_Giả định'!$C$13</f>
        <v>2000000000</v>
      </c>
      <c r="K80" s="104">
        <f>'3_Giả định'!$C$14</f>
        <v>0.15</v>
      </c>
    </row>
    <row r="81" spans="1:26" ht="15" hidden="1" customHeight="1" outlineLevel="1" x14ac:dyDescent="0.3">
      <c r="A81" s="101" t="s">
        <v>464</v>
      </c>
      <c r="B81" s="102">
        <f>'3_Giả định'!$C$17*(1-$B$54)</f>
        <v>885200</v>
      </c>
      <c r="C81" s="102">
        <f>'3_Giả định'!$C$18</f>
        <v>291317.27999999997</v>
      </c>
      <c r="D81" s="103">
        <f>'3_Giả định'!$C$7</f>
        <v>30</v>
      </c>
      <c r="E81" s="104">
        <f>'3_Giả định'!$C$8</f>
        <v>0.05</v>
      </c>
      <c r="F81" s="104">
        <f>'3_Giả định'!$C$9</f>
        <v>0.05</v>
      </c>
      <c r="G81" s="102">
        <f>'3_Giả định'!$C$10</f>
        <v>1500000</v>
      </c>
      <c r="H81" s="102">
        <f>'3_Giả định'!$C$11</f>
        <v>150000000</v>
      </c>
      <c r="I81" s="102">
        <f>'3_Giả định'!$C$12</f>
        <v>600000000</v>
      </c>
      <c r="J81" s="102">
        <f>'3_Giả định'!$C$13</f>
        <v>2000000000</v>
      </c>
      <c r="K81" s="104">
        <f>'3_Giả định'!$C$14</f>
        <v>0.15</v>
      </c>
    </row>
    <row r="82" spans="1:26" ht="15" hidden="1" customHeight="1" outlineLevel="1" x14ac:dyDescent="0.3">
      <c r="A82" s="101" t="s">
        <v>465</v>
      </c>
      <c r="B82" s="102">
        <f>'3_Giả định'!$C$17</f>
        <v>1106500</v>
      </c>
      <c r="C82" s="102">
        <f>'3_Giả định'!$C$18*(1+$B$54)</f>
        <v>349580.73599999998</v>
      </c>
      <c r="D82" s="103">
        <f>'3_Giả định'!$C$7</f>
        <v>30</v>
      </c>
      <c r="E82" s="104">
        <f>'3_Giả định'!$C$8</f>
        <v>0.05</v>
      </c>
      <c r="F82" s="104">
        <f>'3_Giả định'!$C$9</f>
        <v>0.05</v>
      </c>
      <c r="G82" s="102">
        <f>'3_Giả định'!$C$10</f>
        <v>1500000</v>
      </c>
      <c r="H82" s="102">
        <f>'3_Giả định'!$C$11</f>
        <v>150000000</v>
      </c>
      <c r="I82" s="102">
        <f>'3_Giả định'!$C$12</f>
        <v>600000000</v>
      </c>
      <c r="J82" s="102">
        <f>'3_Giả định'!$C$13</f>
        <v>2000000000</v>
      </c>
      <c r="K82" s="104">
        <f>'3_Giả định'!$C$14</f>
        <v>0.15</v>
      </c>
    </row>
    <row r="83" spans="1:26" ht="15" hidden="1" customHeight="1" outlineLevel="1" x14ac:dyDescent="0.3">
      <c r="A83" s="101" t="s">
        <v>466</v>
      </c>
      <c r="B83" s="102">
        <f>'3_Giả định'!$C$17</f>
        <v>1106500</v>
      </c>
      <c r="C83" s="102">
        <f>'3_Giả định'!$C$18</f>
        <v>291317.27999999997</v>
      </c>
      <c r="D83" s="103">
        <f>'3_Giả định'!$C$7</f>
        <v>30</v>
      </c>
      <c r="E83" s="104">
        <f>'3_Giả định'!$C$8</f>
        <v>0.05</v>
      </c>
      <c r="F83" s="104">
        <f>'3_Giả định'!$C$9*(1+$B$54)</f>
        <v>0.06</v>
      </c>
      <c r="G83" s="102">
        <f>'3_Giả định'!$C$10</f>
        <v>1500000</v>
      </c>
      <c r="H83" s="102">
        <f>'3_Giả định'!$C$11</f>
        <v>150000000</v>
      </c>
      <c r="I83" s="102">
        <f>'3_Giả định'!$C$12</f>
        <v>600000000</v>
      </c>
      <c r="J83" s="102">
        <f>'3_Giả định'!$C$13</f>
        <v>2000000000</v>
      </c>
      <c r="K83" s="104">
        <f>'3_Giả định'!$C$14</f>
        <v>0.15</v>
      </c>
    </row>
    <row r="84" spans="1:26" ht="15" hidden="1" customHeight="1" outlineLevel="1" x14ac:dyDescent="0.3">
      <c r="A84" s="101" t="s">
        <v>467</v>
      </c>
      <c r="B84" s="102">
        <f>'3_Giả định'!$C$17</f>
        <v>1106500</v>
      </c>
      <c r="C84" s="102">
        <f>'3_Giả định'!$C$18</f>
        <v>291317.27999999997</v>
      </c>
      <c r="D84" s="103">
        <f>'3_Giả định'!$C$7</f>
        <v>30</v>
      </c>
      <c r="E84" s="104">
        <f>'3_Giả định'!$C$8</f>
        <v>0.05</v>
      </c>
      <c r="F84" s="104">
        <f>'3_Giả định'!$C$9</f>
        <v>0.05</v>
      </c>
      <c r="G84" s="102">
        <f>'3_Giả định'!$C$10*(1+$B$54)</f>
        <v>1800000</v>
      </c>
      <c r="H84" s="102">
        <f>'3_Giả định'!$C$11</f>
        <v>150000000</v>
      </c>
      <c r="I84" s="102">
        <f>'3_Giả định'!$C$12</f>
        <v>600000000</v>
      </c>
      <c r="J84" s="102">
        <f>'3_Giả định'!$C$13</f>
        <v>2000000000</v>
      </c>
      <c r="K84" s="104">
        <f>'3_Giả định'!$C$14</f>
        <v>0.15</v>
      </c>
    </row>
    <row r="85" spans="1:26" ht="15" hidden="1" customHeight="1" outlineLevel="1" x14ac:dyDescent="0.3">
      <c r="A85" s="101" t="s">
        <v>468</v>
      </c>
      <c r="B85" s="102">
        <f>'3_Giả định'!$C$17</f>
        <v>1106500</v>
      </c>
      <c r="C85" s="102">
        <f>'3_Giả định'!$C$18</f>
        <v>291317.27999999997</v>
      </c>
      <c r="D85" s="103">
        <f>'3_Giả định'!$C$7*(1-$B$54)</f>
        <v>24</v>
      </c>
      <c r="E85" s="104">
        <f>'3_Giả định'!$C$8</f>
        <v>0.05</v>
      </c>
      <c r="F85" s="104">
        <f>'3_Giả định'!$C$9</f>
        <v>0.05</v>
      </c>
      <c r="G85" s="102">
        <f>'3_Giả định'!$C$10</f>
        <v>1500000</v>
      </c>
      <c r="H85" s="102">
        <f>'3_Giả định'!$C$11</f>
        <v>150000000</v>
      </c>
      <c r="I85" s="102">
        <f>'3_Giả định'!$C$12</f>
        <v>600000000</v>
      </c>
      <c r="J85" s="102">
        <f>'3_Giả định'!$C$13</f>
        <v>2000000000</v>
      </c>
      <c r="K85" s="104">
        <f>'3_Giả định'!$C$14</f>
        <v>0.15</v>
      </c>
    </row>
    <row r="86" spans="1:26" ht="15" hidden="1" customHeight="1" outlineLevel="1" x14ac:dyDescent="0.3">
      <c r="A86" s="101" t="s">
        <v>469</v>
      </c>
      <c r="B86" s="102">
        <f>'3_Giả định'!$C$17</f>
        <v>1106500</v>
      </c>
      <c r="C86" s="102">
        <f>'3_Giả định'!$C$18</f>
        <v>291317.27999999997</v>
      </c>
      <c r="D86" s="103">
        <f>'3_Giả định'!$C$7</f>
        <v>30</v>
      </c>
      <c r="E86" s="104">
        <f>'3_Giả định'!$C$8*(1-$B$54)</f>
        <v>4.0000000000000008E-2</v>
      </c>
      <c r="F86" s="104">
        <f>'3_Giả định'!$C$9</f>
        <v>0.05</v>
      </c>
      <c r="G86" s="102">
        <f>'3_Giả định'!$C$10</f>
        <v>1500000</v>
      </c>
      <c r="H86" s="102">
        <f>'3_Giả định'!$C$11</f>
        <v>150000000</v>
      </c>
      <c r="I86" s="102">
        <f>'3_Giả định'!$C$12</f>
        <v>600000000</v>
      </c>
      <c r="J86" s="102">
        <f>'3_Giả định'!$C$13</f>
        <v>2000000000</v>
      </c>
      <c r="K86" s="104">
        <f>'3_Giả định'!$C$14</f>
        <v>0.15</v>
      </c>
    </row>
    <row r="87" spans="1:26" ht="15" hidden="1" customHeight="1" outlineLevel="1" x14ac:dyDescent="0.3">
      <c r="A87" s="101" t="s">
        <v>470</v>
      </c>
      <c r="B87" s="102">
        <f>'3_Giả định'!$C$17</f>
        <v>1106500</v>
      </c>
      <c r="C87" s="102">
        <f>'3_Giả định'!$C$18</f>
        <v>291317.27999999997</v>
      </c>
      <c r="D87" s="103">
        <f>'3_Giả định'!$C$7</f>
        <v>30</v>
      </c>
      <c r="E87" s="104">
        <f>'3_Giả định'!$C$8</f>
        <v>0.05</v>
      </c>
      <c r="F87" s="104">
        <f>'3_Giả định'!$C$9</f>
        <v>0.05</v>
      </c>
      <c r="G87" s="102">
        <f>'3_Giả định'!$C$10</f>
        <v>1500000</v>
      </c>
      <c r="H87" s="102">
        <f>'3_Giả định'!$C$11*(1+$B$54)</f>
        <v>180000000</v>
      </c>
      <c r="I87" s="102">
        <f>'3_Giả định'!$C$12</f>
        <v>600000000</v>
      </c>
      <c r="J87" s="102">
        <f>'3_Giả định'!$C$13</f>
        <v>2000000000</v>
      </c>
      <c r="K87" s="104">
        <f>'3_Giả định'!$C$14</f>
        <v>0.15</v>
      </c>
    </row>
    <row r="88" spans="1:26" ht="15" hidden="1" customHeight="1" outlineLevel="1" x14ac:dyDescent="0.3">
      <c r="A88" s="101" t="s">
        <v>471</v>
      </c>
      <c r="B88" s="102">
        <f>'2_Định giá'!$D$15*'3_Giả định'!$C$5*(1-'2_Định giá'!$B$27)</f>
        <v>499000</v>
      </c>
      <c r="C88" s="102">
        <f>'2_Định giá'!$E$15*'3_Giả định'!$C$6</f>
        <v>123964.8</v>
      </c>
      <c r="D88" s="103">
        <f>'3_Giả định'!$C$7</f>
        <v>30</v>
      </c>
      <c r="E88" s="104">
        <f>'3_Giả định'!$C$8</f>
        <v>0.05</v>
      </c>
      <c r="F88" s="104">
        <f>'3_Giả định'!$C$9</f>
        <v>0.05</v>
      </c>
      <c r="G88" s="102">
        <f>'3_Giả định'!$C$10</f>
        <v>1500000</v>
      </c>
      <c r="H88" s="102">
        <f>'3_Giả định'!$C$11</f>
        <v>150000000</v>
      </c>
      <c r="I88" s="102">
        <f>'3_Giả định'!$C$12</f>
        <v>600000000</v>
      </c>
      <c r="J88" s="102">
        <f>'3_Giả định'!$C$13</f>
        <v>2000000000</v>
      </c>
      <c r="K88" s="104">
        <f>'3_Giả định'!$C$14</f>
        <v>0.15</v>
      </c>
    </row>
    <row r="89" spans="1:26" ht="15" hidden="1" customHeight="1" outlineLevel="1" x14ac:dyDescent="0.3"/>
    <row r="90" spans="1:26" ht="15" hidden="1" customHeight="1" outlineLevel="1" x14ac:dyDescent="0.3"/>
    <row r="91" spans="1:26" ht="15" hidden="1" customHeight="1" outlineLevel="1" x14ac:dyDescent="0.3"/>
    <row r="92" spans="1:26" ht="15" hidden="1" customHeight="1" outlineLevel="1" x14ac:dyDescent="0.3">
      <c r="A92" s="101" t="s">
        <v>472</v>
      </c>
      <c r="C92" s="103">
        <f>$D$80*(1+$E$80)^0</f>
        <v>30</v>
      </c>
      <c r="D92" s="103">
        <f>$D$80*(1+$E$80)^1</f>
        <v>31.5</v>
      </c>
      <c r="E92" s="103">
        <f>$D$80*(1+$E$80)^2</f>
        <v>33.075000000000003</v>
      </c>
      <c r="F92" s="103">
        <f>$D$80*(1+$E$80)^3</f>
        <v>34.728750000000005</v>
      </c>
      <c r="G92" s="103">
        <f>$D$80*(1+$E$80)^4</f>
        <v>36.465187499999999</v>
      </c>
      <c r="H92" s="103">
        <f>$D$80*(1+$E$80)^5</f>
        <v>38.288446875000005</v>
      </c>
      <c r="I92" s="103">
        <f>$D$80*(1+$E$80)^6</f>
        <v>40.202869218749996</v>
      </c>
      <c r="J92" s="103">
        <f>$D$80*(1+$E$80)^7</f>
        <v>42.213012679687509</v>
      </c>
      <c r="K92" s="103">
        <f>$D$80*(1+$E$80)^8</f>
        <v>44.323663313671879</v>
      </c>
      <c r="L92" s="103">
        <f>$D$80*(1+$E$80)^9</f>
        <v>46.539846479355475</v>
      </c>
      <c r="M92" s="103">
        <f>$D$80*(1+$E$80)^10</f>
        <v>48.866838803323247</v>
      </c>
      <c r="N92" s="103">
        <f>$D$80*(1+$E$80)^11</f>
        <v>51.310180743489411</v>
      </c>
      <c r="O92" s="103">
        <f>$D$80*(1+$E$80)^12</f>
        <v>53.875689780663876</v>
      </c>
      <c r="P92" s="103">
        <f>$D$80*(1+$E$80)^13</f>
        <v>56.569474269697082</v>
      </c>
      <c r="Q92" s="103">
        <f>$D$80*(1+$E$80)^14</f>
        <v>59.397947983181922</v>
      </c>
      <c r="R92" s="103">
        <f>$D$80*(1+$E$80)^15</f>
        <v>62.367845382341038</v>
      </c>
      <c r="S92" s="103">
        <f>$D$80*(1+$E$80)^16</f>
        <v>65.486237651458083</v>
      </c>
      <c r="T92" s="103">
        <f>$D$80*(1+$E$80)^17</f>
        <v>68.760549534031</v>
      </c>
      <c r="U92" s="103">
        <f>$D$80*(1+$E$80)^18</f>
        <v>72.198577010732549</v>
      </c>
      <c r="V92" s="103">
        <f>$D$80*(1+$E$80)^19</f>
        <v>75.808505861269168</v>
      </c>
      <c r="W92" s="103">
        <f>$D$80*(1+$E$80)^20</f>
        <v>79.598931154332632</v>
      </c>
      <c r="X92" s="103">
        <f>$D$80*(1+$E$80)^21</f>
        <v>83.578877712049263</v>
      </c>
      <c r="Y92" s="103">
        <f>$D$80*(1+$E$80)^22</f>
        <v>87.757821597651713</v>
      </c>
      <c r="Z92" s="103">
        <f>$D$80*(1+$E$80)^23</f>
        <v>92.14571267753432</v>
      </c>
    </row>
    <row r="93" spans="1:26" ht="15" hidden="1" customHeight="1" outlineLevel="1" x14ac:dyDescent="0.3">
      <c r="A93" s="101" t="s">
        <v>473</v>
      </c>
      <c r="B93" s="101">
        <v>0</v>
      </c>
      <c r="C93" s="103">
        <f t="shared" ref="C93:Z93" si="14">B93*(1-$F$80)+C92</f>
        <v>30</v>
      </c>
      <c r="D93" s="103">
        <f t="shared" si="14"/>
        <v>60</v>
      </c>
      <c r="E93" s="103">
        <f t="shared" si="14"/>
        <v>90.075000000000003</v>
      </c>
      <c r="F93" s="103">
        <f t="shared" si="14"/>
        <v>120.3</v>
      </c>
      <c r="G93" s="103">
        <f t="shared" si="14"/>
        <v>150.75018749999998</v>
      </c>
      <c r="H93" s="103">
        <f t="shared" si="14"/>
        <v>181.50112499999997</v>
      </c>
      <c r="I93" s="103">
        <f t="shared" si="14"/>
        <v>212.62893796874994</v>
      </c>
      <c r="J93" s="103">
        <f t="shared" si="14"/>
        <v>244.21050374999993</v>
      </c>
      <c r="K93" s="103">
        <f t="shared" si="14"/>
        <v>276.32364187617179</v>
      </c>
      <c r="L93" s="103">
        <f t="shared" si="14"/>
        <v>309.04730626171863</v>
      </c>
      <c r="M93" s="103">
        <f t="shared" si="14"/>
        <v>342.46177975195599</v>
      </c>
      <c r="N93" s="103">
        <f t="shared" si="14"/>
        <v>376.64887150784756</v>
      </c>
      <c r="O93" s="103">
        <f t="shared" si="14"/>
        <v>411.69211771311905</v>
      </c>
      <c r="P93" s="103">
        <f t="shared" si="14"/>
        <v>447.67698609716018</v>
      </c>
      <c r="Q93" s="103">
        <f t="shared" si="14"/>
        <v>484.69108477548411</v>
      </c>
      <c r="R93" s="103">
        <f t="shared" si="14"/>
        <v>522.82437591905091</v>
      </c>
      <c r="S93" s="103">
        <f t="shared" si="14"/>
        <v>562.16939477455639</v>
      </c>
      <c r="T93" s="103">
        <f t="shared" si="14"/>
        <v>602.82147456985956</v>
      </c>
      <c r="U93" s="103">
        <f t="shared" si="14"/>
        <v>644.87897785209907</v>
      </c>
      <c r="V93" s="103">
        <f t="shared" si="14"/>
        <v>688.44353482076326</v>
      </c>
      <c r="W93" s="103">
        <f t="shared" si="14"/>
        <v>733.62028923405762</v>
      </c>
      <c r="X93" s="103">
        <f t="shared" si="14"/>
        <v>780.51815248440391</v>
      </c>
      <c r="Y93" s="103">
        <f t="shared" si="14"/>
        <v>829.25006645783537</v>
      </c>
      <c r="Z93" s="103">
        <f t="shared" si="14"/>
        <v>879.93327581247786</v>
      </c>
    </row>
    <row r="94" spans="1:26" ht="15" hidden="1" customHeight="1" outlineLevel="1" x14ac:dyDescent="0.3">
      <c r="A94" s="101" t="s">
        <v>474</v>
      </c>
      <c r="B94" s="102">
        <f>-$I$80</f>
        <v>-600000000</v>
      </c>
      <c r="C94" s="102">
        <f t="shared" ref="C94:Z94" si="15">C93*($B$80-$C$80)-C92*$G$80-$H$80</f>
        <v>-170544518.40000001</v>
      </c>
      <c r="D94" s="102">
        <f t="shared" si="15"/>
        <v>-148339036.80000001</v>
      </c>
      <c r="E94" s="102">
        <f t="shared" si="15"/>
        <v>-126184916.49600002</v>
      </c>
      <c r="F94" s="102">
        <f t="shared" si="15"/>
        <v>-104026643.78400001</v>
      </c>
      <c r="G94" s="102">
        <f t="shared" si="15"/>
        <v>-81808833.363240018</v>
      </c>
      <c r="H94" s="102">
        <f t="shared" si="15"/>
        <v>-59476089.551940024</v>
      </c>
      <c r="I94" s="102">
        <f t="shared" si="15"/>
        <v>-36972867.824048162</v>
      </c>
      <c r="J94" s="102">
        <f t="shared" si="15"/>
        <v>-14243336.320036113</v>
      </c>
      <c r="K94" s="102">
        <f t="shared" si="15"/>
        <v>8768763.0144158006</v>
      </c>
      <c r="L94" s="102">
        <f t="shared" si="15"/>
        <v>32120254.008067608</v>
      </c>
      <c r="M94" s="102">
        <f t="shared" si="15"/>
        <v>55868666.909255534</v>
      </c>
      <c r="N94" s="102">
        <f t="shared" si="15"/>
        <v>80072380.445463538</v>
      </c>
      <c r="O94" s="102">
        <f t="shared" si="15"/>
        <v>104790765.64894474</v>
      </c>
      <c r="P94" s="102">
        <f t="shared" si="15"/>
        <v>130084331.80353957</v>
      </c>
      <c r="Q94" s="102">
        <f t="shared" si="15"/>
        <v>156014874.87225688</v>
      </c>
      <c r="R94" s="102">
        <f t="shared" si="15"/>
        <v>182645628.77048284</v>
      </c>
      <c r="S94" s="102">
        <f t="shared" si="15"/>
        <v>210041419.85588956</v>
      </c>
      <c r="T94" s="102">
        <f t="shared" si="15"/>
        <v>238268825.01322246</v>
      </c>
      <c r="U94" s="102">
        <f t="shared" si="15"/>
        <v>267396333.72019506</v>
      </c>
      <c r="V94" s="102">
        <f t="shared" si="15"/>
        <v>297494514.48970079</v>
      </c>
      <c r="W94" s="102">
        <f t="shared" si="15"/>
        <v>328636186.09350681</v>
      </c>
      <c r="X94" s="102">
        <f t="shared" si="15"/>
        <v>360896593.9835372</v>
      </c>
      <c r="Y94" s="102">
        <f t="shared" si="15"/>
        <v>394353592.33880138</v>
      </c>
      <c r="Z94" s="102">
        <f t="shared" si="15"/>
        <v>429087832.17902434</v>
      </c>
    </row>
    <row r="95" spans="1:26" ht="15" hidden="1" customHeight="1" outlineLevel="1" x14ac:dyDescent="0.3">
      <c r="A95" s="101" t="s">
        <v>475</v>
      </c>
      <c r="B95" s="102">
        <f>$J$80+B94</f>
        <v>1400000000</v>
      </c>
      <c r="C95" s="102">
        <f t="shared" ref="C95:Z95" si="16">B95+C94</f>
        <v>1229455481.5999999</v>
      </c>
      <c r="D95" s="102">
        <f t="shared" si="16"/>
        <v>1081116444.8</v>
      </c>
      <c r="E95" s="102">
        <f t="shared" si="16"/>
        <v>954931528.3039999</v>
      </c>
      <c r="F95" s="102">
        <f t="shared" si="16"/>
        <v>850904884.51999986</v>
      </c>
      <c r="G95" s="102">
        <f t="shared" si="16"/>
        <v>769096051.15675986</v>
      </c>
      <c r="H95" s="102">
        <f t="shared" si="16"/>
        <v>709619961.60481977</v>
      </c>
      <c r="I95" s="102">
        <f t="shared" si="16"/>
        <v>672647093.78077161</v>
      </c>
      <c r="J95" s="102">
        <f t="shared" si="16"/>
        <v>658403757.46073556</v>
      </c>
      <c r="K95" s="102">
        <f t="shared" si="16"/>
        <v>667172520.4751513</v>
      </c>
      <c r="L95" s="102">
        <f t="shared" si="16"/>
        <v>699292774.48321891</v>
      </c>
      <c r="M95" s="102">
        <f t="shared" si="16"/>
        <v>755161441.39247441</v>
      </c>
      <c r="N95" s="102">
        <f t="shared" si="16"/>
        <v>835233821.83793795</v>
      </c>
      <c r="O95" s="102">
        <f t="shared" si="16"/>
        <v>940024587.48688269</v>
      </c>
      <c r="P95" s="102">
        <f t="shared" si="16"/>
        <v>1070108919.2904222</v>
      </c>
      <c r="Q95" s="102">
        <f t="shared" si="16"/>
        <v>1226123794.1626792</v>
      </c>
      <c r="R95" s="102">
        <f t="shared" si="16"/>
        <v>1408769422.933162</v>
      </c>
      <c r="S95" s="102">
        <f t="shared" si="16"/>
        <v>1618810842.7890515</v>
      </c>
      <c r="T95" s="102">
        <f t="shared" si="16"/>
        <v>1857079667.802274</v>
      </c>
      <c r="U95" s="102">
        <f t="shared" si="16"/>
        <v>2124476001.522469</v>
      </c>
      <c r="V95" s="102">
        <f t="shared" si="16"/>
        <v>2421970516.0121698</v>
      </c>
      <c r="W95" s="102">
        <f t="shared" si="16"/>
        <v>2750606702.1056767</v>
      </c>
      <c r="X95" s="102">
        <f t="shared" si="16"/>
        <v>3111503296.0892138</v>
      </c>
      <c r="Y95" s="102">
        <f t="shared" si="16"/>
        <v>3505856888.4280152</v>
      </c>
      <c r="Z95" s="102">
        <f t="shared" si="16"/>
        <v>3934944720.6070395</v>
      </c>
    </row>
    <row r="96" spans="1:26" ht="15" hidden="1" customHeight="1" outlineLevel="1" x14ac:dyDescent="0.3">
      <c r="A96" s="101" t="s">
        <v>476</v>
      </c>
      <c r="B96" s="102">
        <f>B94</f>
        <v>-600000000</v>
      </c>
      <c r="C96" s="102">
        <f t="shared" ref="C96:Z96" si="17">B96+C94</f>
        <v>-770544518.39999998</v>
      </c>
      <c r="D96" s="102">
        <f t="shared" si="17"/>
        <v>-918883555.20000005</v>
      </c>
      <c r="E96" s="102">
        <f t="shared" si="17"/>
        <v>-1045068471.6960001</v>
      </c>
      <c r="F96" s="102">
        <f t="shared" si="17"/>
        <v>-1149095115.48</v>
      </c>
      <c r="G96" s="102">
        <f t="shared" si="17"/>
        <v>-1230903948.84324</v>
      </c>
      <c r="H96" s="102">
        <f t="shared" si="17"/>
        <v>-1290380038.39518</v>
      </c>
      <c r="I96" s="102">
        <f t="shared" si="17"/>
        <v>-1327352906.2192283</v>
      </c>
      <c r="J96" s="102">
        <f t="shared" si="17"/>
        <v>-1341596242.5392644</v>
      </c>
      <c r="K96" s="102">
        <f t="shared" si="17"/>
        <v>-1332827479.5248487</v>
      </c>
      <c r="L96" s="102">
        <f t="shared" si="17"/>
        <v>-1300707225.5167811</v>
      </c>
      <c r="M96" s="102">
        <f t="shared" si="17"/>
        <v>-1244838558.6075256</v>
      </c>
      <c r="N96" s="102">
        <f t="shared" si="17"/>
        <v>-1164766178.1620622</v>
      </c>
      <c r="O96" s="102">
        <f t="shared" si="17"/>
        <v>-1059975412.5131174</v>
      </c>
      <c r="P96" s="102">
        <f t="shared" si="17"/>
        <v>-929891080.7095778</v>
      </c>
      <c r="Q96" s="102">
        <f t="shared" si="17"/>
        <v>-773876205.83732092</v>
      </c>
      <c r="R96" s="102">
        <f t="shared" si="17"/>
        <v>-591230577.06683803</v>
      </c>
      <c r="S96" s="102">
        <f t="shared" si="17"/>
        <v>-381189157.21094847</v>
      </c>
      <c r="T96" s="102">
        <f t="shared" si="17"/>
        <v>-142920332.19772601</v>
      </c>
      <c r="U96" s="102">
        <f t="shared" si="17"/>
        <v>124476001.52246904</v>
      </c>
      <c r="V96" s="102">
        <f t="shared" si="17"/>
        <v>421970516.01216984</v>
      </c>
      <c r="W96" s="102">
        <f t="shared" si="17"/>
        <v>750606702.10567665</v>
      </c>
      <c r="X96" s="102">
        <f t="shared" si="17"/>
        <v>1111503296.0892138</v>
      </c>
      <c r="Y96" s="102">
        <f t="shared" si="17"/>
        <v>1505856888.4280152</v>
      </c>
      <c r="Z96" s="102">
        <f t="shared" si="17"/>
        <v>1934944720.6070395</v>
      </c>
    </row>
    <row r="97" spans="1:26" ht="15" hidden="1" customHeight="1" outlineLevel="1" x14ac:dyDescent="0.3"/>
    <row r="98" spans="1:26" ht="15" hidden="1" customHeight="1" outlineLevel="1" x14ac:dyDescent="0.3">
      <c r="A98" s="101" t="s">
        <v>477</v>
      </c>
      <c r="C98" s="103">
        <f>$D$81*(1+$E$81)^0</f>
        <v>30</v>
      </c>
      <c r="D98" s="103">
        <f>$D$81*(1+$E$81)^1</f>
        <v>31.5</v>
      </c>
      <c r="E98" s="103">
        <f>$D$81*(1+$E$81)^2</f>
        <v>33.075000000000003</v>
      </c>
      <c r="F98" s="103">
        <f>$D$81*(1+$E$81)^3</f>
        <v>34.728750000000005</v>
      </c>
      <c r="G98" s="103">
        <f>$D$81*(1+$E$81)^4</f>
        <v>36.465187499999999</v>
      </c>
      <c r="H98" s="103">
        <f>$D$81*(1+$E$81)^5</f>
        <v>38.288446875000005</v>
      </c>
      <c r="I98" s="103">
        <f>$D$81*(1+$E$81)^6</f>
        <v>40.202869218749996</v>
      </c>
      <c r="J98" s="103">
        <f>$D$81*(1+$E$81)^7</f>
        <v>42.213012679687509</v>
      </c>
      <c r="K98" s="103">
        <f>$D$81*(1+$E$81)^8</f>
        <v>44.323663313671879</v>
      </c>
      <c r="L98" s="103">
        <f>$D$81*(1+$E$81)^9</f>
        <v>46.539846479355475</v>
      </c>
      <c r="M98" s="103">
        <f>$D$81*(1+$E$81)^10</f>
        <v>48.866838803323247</v>
      </c>
      <c r="N98" s="103">
        <f>$D$81*(1+$E$81)^11</f>
        <v>51.310180743489411</v>
      </c>
      <c r="O98" s="103">
        <f>$D$81*(1+$E$81)^12</f>
        <v>53.875689780663876</v>
      </c>
      <c r="P98" s="103">
        <f>$D$81*(1+$E$81)^13</f>
        <v>56.569474269697082</v>
      </c>
      <c r="Q98" s="103">
        <f>$D$81*(1+$E$81)^14</f>
        <v>59.397947983181922</v>
      </c>
      <c r="R98" s="103">
        <f>$D$81*(1+$E$81)^15</f>
        <v>62.367845382341038</v>
      </c>
      <c r="S98" s="103">
        <f>$D$81*(1+$E$81)^16</f>
        <v>65.486237651458083</v>
      </c>
      <c r="T98" s="103">
        <f>$D$81*(1+$E$81)^17</f>
        <v>68.760549534031</v>
      </c>
      <c r="U98" s="103">
        <f>$D$81*(1+$E$81)^18</f>
        <v>72.198577010732549</v>
      </c>
      <c r="V98" s="103">
        <f>$D$81*(1+$E$81)^19</f>
        <v>75.808505861269168</v>
      </c>
      <c r="W98" s="103">
        <f>$D$81*(1+$E$81)^20</f>
        <v>79.598931154332632</v>
      </c>
      <c r="X98" s="103">
        <f>$D$81*(1+$E$81)^21</f>
        <v>83.578877712049263</v>
      </c>
      <c r="Y98" s="103">
        <f>$D$81*(1+$E$81)^22</f>
        <v>87.757821597651713</v>
      </c>
      <c r="Z98" s="103">
        <f>$D$81*(1+$E$81)^23</f>
        <v>92.14571267753432</v>
      </c>
    </row>
    <row r="99" spans="1:26" ht="15" hidden="1" customHeight="1" outlineLevel="1" x14ac:dyDescent="0.3">
      <c r="A99" s="101" t="s">
        <v>478</v>
      </c>
      <c r="B99" s="101">
        <v>0</v>
      </c>
      <c r="C99" s="103">
        <f t="shared" ref="C99:Z99" si="18">B99*(1-$F$81)+C98</f>
        <v>30</v>
      </c>
      <c r="D99" s="103">
        <f t="shared" si="18"/>
        <v>60</v>
      </c>
      <c r="E99" s="103">
        <f t="shared" si="18"/>
        <v>90.075000000000003</v>
      </c>
      <c r="F99" s="103">
        <f t="shared" si="18"/>
        <v>120.3</v>
      </c>
      <c r="G99" s="103">
        <f t="shared" si="18"/>
        <v>150.75018749999998</v>
      </c>
      <c r="H99" s="103">
        <f t="shared" si="18"/>
        <v>181.50112499999997</v>
      </c>
      <c r="I99" s="103">
        <f t="shared" si="18"/>
        <v>212.62893796874994</v>
      </c>
      <c r="J99" s="103">
        <f t="shared" si="18"/>
        <v>244.21050374999993</v>
      </c>
      <c r="K99" s="103">
        <f t="shared" si="18"/>
        <v>276.32364187617179</v>
      </c>
      <c r="L99" s="103">
        <f t="shared" si="18"/>
        <v>309.04730626171863</v>
      </c>
      <c r="M99" s="103">
        <f t="shared" si="18"/>
        <v>342.46177975195599</v>
      </c>
      <c r="N99" s="103">
        <f t="shared" si="18"/>
        <v>376.64887150784756</v>
      </c>
      <c r="O99" s="103">
        <f t="shared" si="18"/>
        <v>411.69211771311905</v>
      </c>
      <c r="P99" s="103">
        <f t="shared" si="18"/>
        <v>447.67698609716018</v>
      </c>
      <c r="Q99" s="103">
        <f t="shared" si="18"/>
        <v>484.69108477548411</v>
      </c>
      <c r="R99" s="103">
        <f t="shared" si="18"/>
        <v>522.82437591905091</v>
      </c>
      <c r="S99" s="103">
        <f t="shared" si="18"/>
        <v>562.16939477455639</v>
      </c>
      <c r="T99" s="103">
        <f t="shared" si="18"/>
        <v>602.82147456985956</v>
      </c>
      <c r="U99" s="103">
        <f t="shared" si="18"/>
        <v>644.87897785209907</v>
      </c>
      <c r="V99" s="103">
        <f t="shared" si="18"/>
        <v>688.44353482076326</v>
      </c>
      <c r="W99" s="103">
        <f t="shared" si="18"/>
        <v>733.62028923405762</v>
      </c>
      <c r="X99" s="103">
        <f t="shared" si="18"/>
        <v>780.51815248440391</v>
      </c>
      <c r="Y99" s="103">
        <f t="shared" si="18"/>
        <v>829.25006645783537</v>
      </c>
      <c r="Z99" s="103">
        <f t="shared" si="18"/>
        <v>879.93327581247786</v>
      </c>
    </row>
    <row r="100" spans="1:26" ht="15" hidden="1" customHeight="1" outlineLevel="1" x14ac:dyDescent="0.3">
      <c r="A100" s="101" t="s">
        <v>479</v>
      </c>
      <c r="B100" s="102">
        <f>-$I$81</f>
        <v>-600000000</v>
      </c>
      <c r="C100" s="102">
        <f t="shared" ref="C100:Z100" si="19">C99*($B$81-$C$81)-C98*$G$81-$H$81</f>
        <v>-177183518.40000001</v>
      </c>
      <c r="D100" s="102">
        <f t="shared" si="19"/>
        <v>-161617036.80000001</v>
      </c>
      <c r="E100" s="102">
        <f t="shared" si="19"/>
        <v>-146118513.99599999</v>
      </c>
      <c r="F100" s="102">
        <f t="shared" si="19"/>
        <v>-130649033.78400001</v>
      </c>
      <c r="G100" s="102">
        <f t="shared" si="19"/>
        <v>-115169849.85699001</v>
      </c>
      <c r="H100" s="102">
        <f t="shared" si="19"/>
        <v>-99642288.51444003</v>
      </c>
      <c r="I100" s="102">
        <f t="shared" si="19"/>
        <v>-84027651.796532512</v>
      </c>
      <c r="J100" s="102">
        <f t="shared" si="19"/>
        <v>-68287120.799911126</v>
      </c>
      <c r="K100" s="102">
        <f t="shared" si="19"/>
        <v>-52381658.932781026</v>
      </c>
      <c r="L100" s="102">
        <f t="shared" si="19"/>
        <v>-36271914.867650717</v>
      </c>
      <c r="M100" s="102">
        <f t="shared" si="19"/>
        <v>-19918124.949852347</v>
      </c>
      <c r="N100" s="102">
        <f t="shared" si="19"/>
        <v>-3280014.8192231059</v>
      </c>
      <c r="O100" s="102">
        <f t="shared" si="19"/>
        <v>13683299.999031484</v>
      </c>
      <c r="P100" s="102">
        <f t="shared" si="19"/>
        <v>31013414.780238032</v>
      </c>
      <c r="Q100" s="102">
        <f t="shared" si="19"/>
        <v>48752737.811442196</v>
      </c>
      <c r="R100" s="102">
        <f t="shared" si="19"/>
        <v>66944594.379596889</v>
      </c>
      <c r="S100" s="102">
        <f t="shared" si="19"/>
        <v>85633332.792280167</v>
      </c>
      <c r="T100" s="102">
        <f t="shared" si="19"/>
        <v>104864432.69091254</v>
      </c>
      <c r="U100" s="102">
        <f t="shared" si="19"/>
        <v>124684615.92152548</v>
      </c>
      <c r="V100" s="102">
        <f t="shared" si="19"/>
        <v>145141960.23386586</v>
      </c>
      <c r="W100" s="102">
        <f t="shared" si="19"/>
        <v>166286016.08600986</v>
      </c>
      <c r="X100" s="102">
        <f t="shared" si="19"/>
        <v>188167926.83873868</v>
      </c>
      <c r="Y100" s="102">
        <f t="shared" si="19"/>
        <v>210840552.63168246</v>
      </c>
      <c r="Z100" s="102">
        <f t="shared" si="19"/>
        <v>234358598.24172306</v>
      </c>
    </row>
    <row r="101" spans="1:26" ht="15" hidden="1" customHeight="1" outlineLevel="1" x14ac:dyDescent="0.3">
      <c r="A101" s="101" t="s">
        <v>480</v>
      </c>
      <c r="B101" s="102">
        <f>$J$81+B100</f>
        <v>1400000000</v>
      </c>
      <c r="C101" s="102">
        <f t="shared" ref="C101:Z101" si="20">B101+C100</f>
        <v>1222816481.5999999</v>
      </c>
      <c r="D101" s="102">
        <f t="shared" si="20"/>
        <v>1061199444.8</v>
      </c>
      <c r="E101" s="102">
        <f t="shared" si="20"/>
        <v>915080930.8039999</v>
      </c>
      <c r="F101" s="102">
        <f t="shared" si="20"/>
        <v>784431897.01999986</v>
      </c>
      <c r="G101" s="102">
        <f t="shared" si="20"/>
        <v>669262047.16300988</v>
      </c>
      <c r="H101" s="102">
        <f t="shared" si="20"/>
        <v>569619758.64856982</v>
      </c>
      <c r="I101" s="102">
        <f t="shared" si="20"/>
        <v>485592106.85203731</v>
      </c>
      <c r="J101" s="102">
        <f t="shared" si="20"/>
        <v>417304986.05212617</v>
      </c>
      <c r="K101" s="102">
        <f t="shared" si="20"/>
        <v>364923327.11934513</v>
      </c>
      <c r="L101" s="102">
        <f t="shared" si="20"/>
        <v>328651412.25169444</v>
      </c>
      <c r="M101" s="102">
        <f t="shared" si="20"/>
        <v>308733287.30184209</v>
      </c>
      <c r="N101" s="102">
        <f t="shared" si="20"/>
        <v>305453272.48261899</v>
      </c>
      <c r="O101" s="102">
        <f t="shared" si="20"/>
        <v>319136572.48165047</v>
      </c>
      <c r="P101" s="102">
        <f t="shared" si="20"/>
        <v>350149987.2618885</v>
      </c>
      <c r="Q101" s="102">
        <f t="shared" si="20"/>
        <v>398902725.0733307</v>
      </c>
      <c r="R101" s="102">
        <f t="shared" si="20"/>
        <v>465847319.45292759</v>
      </c>
      <c r="S101" s="102">
        <f t="shared" si="20"/>
        <v>551480652.24520779</v>
      </c>
      <c r="T101" s="102">
        <f t="shared" si="20"/>
        <v>656345084.93612027</v>
      </c>
      <c r="U101" s="102">
        <f t="shared" si="20"/>
        <v>781029700.85764575</v>
      </c>
      <c r="V101" s="102">
        <f t="shared" si="20"/>
        <v>926171661.09151161</v>
      </c>
      <c r="W101" s="102">
        <f t="shared" si="20"/>
        <v>1092457677.1775215</v>
      </c>
      <c r="X101" s="102">
        <f t="shared" si="20"/>
        <v>1280625604.0162601</v>
      </c>
      <c r="Y101" s="102">
        <f t="shared" si="20"/>
        <v>1491466156.6479425</v>
      </c>
      <c r="Z101" s="102">
        <f t="shared" si="20"/>
        <v>1725824754.8896656</v>
      </c>
    </row>
    <row r="102" spans="1:26" ht="15" hidden="1" customHeight="1" outlineLevel="1" x14ac:dyDescent="0.3">
      <c r="A102" s="101" t="s">
        <v>481</v>
      </c>
      <c r="B102" s="102">
        <f>B100</f>
        <v>-600000000</v>
      </c>
      <c r="C102" s="102">
        <f t="shared" ref="C102:Z102" si="21">B102+C100</f>
        <v>-777183518.39999998</v>
      </c>
      <c r="D102" s="102">
        <f t="shared" si="21"/>
        <v>-938800555.20000005</v>
      </c>
      <c r="E102" s="102">
        <f t="shared" si="21"/>
        <v>-1084919069.1960001</v>
      </c>
      <c r="F102" s="102">
        <f t="shared" si="21"/>
        <v>-1215568102.98</v>
      </c>
      <c r="G102" s="102">
        <f t="shared" si="21"/>
        <v>-1330737952.8369901</v>
      </c>
      <c r="H102" s="102">
        <f t="shared" si="21"/>
        <v>-1430380241.3514302</v>
      </c>
      <c r="I102" s="102">
        <f t="shared" si="21"/>
        <v>-1514407893.1479626</v>
      </c>
      <c r="J102" s="102">
        <f t="shared" si="21"/>
        <v>-1582695013.9478736</v>
      </c>
      <c r="K102" s="102">
        <f t="shared" si="21"/>
        <v>-1635076672.8806546</v>
      </c>
      <c r="L102" s="102">
        <f t="shared" si="21"/>
        <v>-1671348587.7483053</v>
      </c>
      <c r="M102" s="102">
        <f t="shared" si="21"/>
        <v>-1691266712.6981578</v>
      </c>
      <c r="N102" s="102">
        <f t="shared" si="21"/>
        <v>-1694546727.517381</v>
      </c>
      <c r="O102" s="102">
        <f t="shared" si="21"/>
        <v>-1680863427.5183494</v>
      </c>
      <c r="P102" s="102">
        <f t="shared" si="21"/>
        <v>-1649850012.7381115</v>
      </c>
      <c r="Q102" s="102">
        <f t="shared" si="21"/>
        <v>-1601097274.9266694</v>
      </c>
      <c r="R102" s="102">
        <f t="shared" si="21"/>
        <v>-1534152680.5470724</v>
      </c>
      <c r="S102" s="102">
        <f t="shared" si="21"/>
        <v>-1448519347.7547922</v>
      </c>
      <c r="T102" s="102">
        <f t="shared" si="21"/>
        <v>-1343654915.0638797</v>
      </c>
      <c r="U102" s="102">
        <f t="shared" si="21"/>
        <v>-1218970299.1423542</v>
      </c>
      <c r="V102" s="102">
        <f t="shared" si="21"/>
        <v>-1073828338.9084883</v>
      </c>
      <c r="W102" s="102">
        <f t="shared" si="21"/>
        <v>-907542322.82247841</v>
      </c>
      <c r="X102" s="102">
        <f t="shared" si="21"/>
        <v>-719374395.98373973</v>
      </c>
      <c r="Y102" s="102">
        <f t="shared" si="21"/>
        <v>-508533843.35205728</v>
      </c>
      <c r="Z102" s="102">
        <f t="shared" si="21"/>
        <v>-274175245.11033422</v>
      </c>
    </row>
    <row r="103" spans="1:26" ht="15" hidden="1" customHeight="1" outlineLevel="1" x14ac:dyDescent="0.3"/>
    <row r="104" spans="1:26" ht="15" hidden="1" customHeight="1" outlineLevel="1" x14ac:dyDescent="0.3">
      <c r="A104" s="101" t="s">
        <v>482</v>
      </c>
      <c r="C104" s="103">
        <f>$D$82*(1+$E$82)^0</f>
        <v>30</v>
      </c>
      <c r="D104" s="103">
        <f>$D$82*(1+$E$82)^1</f>
        <v>31.5</v>
      </c>
      <c r="E104" s="103">
        <f>$D$82*(1+$E$82)^2</f>
        <v>33.075000000000003</v>
      </c>
      <c r="F104" s="103">
        <f>$D$82*(1+$E$82)^3</f>
        <v>34.728750000000005</v>
      </c>
      <c r="G104" s="103">
        <f>$D$82*(1+$E$82)^4</f>
        <v>36.465187499999999</v>
      </c>
      <c r="H104" s="103">
        <f>$D$82*(1+$E$82)^5</f>
        <v>38.288446875000005</v>
      </c>
      <c r="I104" s="103">
        <f>$D$82*(1+$E$82)^6</f>
        <v>40.202869218749996</v>
      </c>
      <c r="J104" s="103">
        <f>$D$82*(1+$E$82)^7</f>
        <v>42.213012679687509</v>
      </c>
      <c r="K104" s="103">
        <f>$D$82*(1+$E$82)^8</f>
        <v>44.323663313671879</v>
      </c>
      <c r="L104" s="103">
        <f>$D$82*(1+$E$82)^9</f>
        <v>46.539846479355475</v>
      </c>
      <c r="M104" s="103">
        <f>$D$82*(1+$E$82)^10</f>
        <v>48.866838803323247</v>
      </c>
      <c r="N104" s="103">
        <f>$D$82*(1+$E$82)^11</f>
        <v>51.310180743489411</v>
      </c>
      <c r="O104" s="103">
        <f>$D$82*(1+$E$82)^12</f>
        <v>53.875689780663876</v>
      </c>
      <c r="P104" s="103">
        <f>$D$82*(1+$E$82)^13</f>
        <v>56.569474269697082</v>
      </c>
      <c r="Q104" s="103">
        <f>$D$82*(1+$E$82)^14</f>
        <v>59.397947983181922</v>
      </c>
      <c r="R104" s="103">
        <f>$D$82*(1+$E$82)^15</f>
        <v>62.367845382341038</v>
      </c>
      <c r="S104" s="103">
        <f>$D$82*(1+$E$82)^16</f>
        <v>65.486237651458083</v>
      </c>
      <c r="T104" s="103">
        <f>$D$82*(1+$E$82)^17</f>
        <v>68.760549534031</v>
      </c>
      <c r="U104" s="103">
        <f>$D$82*(1+$E$82)^18</f>
        <v>72.198577010732549</v>
      </c>
      <c r="V104" s="103">
        <f>$D$82*(1+$E$82)^19</f>
        <v>75.808505861269168</v>
      </c>
      <c r="W104" s="103">
        <f>$D$82*(1+$E$82)^20</f>
        <v>79.598931154332632</v>
      </c>
      <c r="X104" s="103">
        <f>$D$82*(1+$E$82)^21</f>
        <v>83.578877712049263</v>
      </c>
      <c r="Y104" s="103">
        <f>$D$82*(1+$E$82)^22</f>
        <v>87.757821597651713</v>
      </c>
      <c r="Z104" s="103">
        <f>$D$82*(1+$E$82)^23</f>
        <v>92.14571267753432</v>
      </c>
    </row>
    <row r="105" spans="1:26" ht="15" hidden="1" customHeight="1" outlineLevel="1" x14ac:dyDescent="0.3">
      <c r="A105" s="101" t="s">
        <v>483</v>
      </c>
      <c r="B105" s="101">
        <v>0</v>
      </c>
      <c r="C105" s="103">
        <f t="shared" ref="C105:Z105" si="22">B105*(1-$F$82)+C104</f>
        <v>30</v>
      </c>
      <c r="D105" s="103">
        <f t="shared" si="22"/>
        <v>60</v>
      </c>
      <c r="E105" s="103">
        <f t="shared" si="22"/>
        <v>90.075000000000003</v>
      </c>
      <c r="F105" s="103">
        <f t="shared" si="22"/>
        <v>120.3</v>
      </c>
      <c r="G105" s="103">
        <f t="shared" si="22"/>
        <v>150.75018749999998</v>
      </c>
      <c r="H105" s="103">
        <f t="shared" si="22"/>
        <v>181.50112499999997</v>
      </c>
      <c r="I105" s="103">
        <f t="shared" si="22"/>
        <v>212.62893796874994</v>
      </c>
      <c r="J105" s="103">
        <f t="shared" si="22"/>
        <v>244.21050374999993</v>
      </c>
      <c r="K105" s="103">
        <f t="shared" si="22"/>
        <v>276.32364187617179</v>
      </c>
      <c r="L105" s="103">
        <f t="shared" si="22"/>
        <v>309.04730626171863</v>
      </c>
      <c r="M105" s="103">
        <f t="shared" si="22"/>
        <v>342.46177975195599</v>
      </c>
      <c r="N105" s="103">
        <f t="shared" si="22"/>
        <v>376.64887150784756</v>
      </c>
      <c r="O105" s="103">
        <f t="shared" si="22"/>
        <v>411.69211771311905</v>
      </c>
      <c r="P105" s="103">
        <f t="shared" si="22"/>
        <v>447.67698609716018</v>
      </c>
      <c r="Q105" s="103">
        <f t="shared" si="22"/>
        <v>484.69108477548411</v>
      </c>
      <c r="R105" s="103">
        <f t="shared" si="22"/>
        <v>522.82437591905091</v>
      </c>
      <c r="S105" s="103">
        <f t="shared" si="22"/>
        <v>562.16939477455639</v>
      </c>
      <c r="T105" s="103">
        <f t="shared" si="22"/>
        <v>602.82147456985956</v>
      </c>
      <c r="U105" s="103">
        <f t="shared" si="22"/>
        <v>644.87897785209907</v>
      </c>
      <c r="V105" s="103">
        <f t="shared" si="22"/>
        <v>688.44353482076326</v>
      </c>
      <c r="W105" s="103">
        <f t="shared" si="22"/>
        <v>733.62028923405762</v>
      </c>
      <c r="X105" s="103">
        <f t="shared" si="22"/>
        <v>780.51815248440391</v>
      </c>
      <c r="Y105" s="103">
        <f t="shared" si="22"/>
        <v>829.25006645783537</v>
      </c>
      <c r="Z105" s="103">
        <f t="shared" si="22"/>
        <v>879.93327581247786</v>
      </c>
    </row>
    <row r="106" spans="1:26" ht="15" hidden="1" customHeight="1" outlineLevel="1" x14ac:dyDescent="0.3">
      <c r="A106" s="101" t="s">
        <v>484</v>
      </c>
      <c r="B106" s="102">
        <f>-$I$82</f>
        <v>-600000000</v>
      </c>
      <c r="C106" s="102">
        <f t="shared" ref="C106:Z106" si="23">C105*($B$82-$C$82)-C104*$G$82-$H$82</f>
        <v>-172292422.08000001</v>
      </c>
      <c r="D106" s="102">
        <f t="shared" si="23"/>
        <v>-151834844.16</v>
      </c>
      <c r="E106" s="102">
        <f t="shared" si="23"/>
        <v>-131432997.29520002</v>
      </c>
      <c r="F106" s="102">
        <f t="shared" si="23"/>
        <v>-111035737.54080001</v>
      </c>
      <c r="G106" s="102">
        <f t="shared" si="23"/>
        <v>-90592060.279638022</v>
      </c>
      <c r="H106" s="102">
        <f t="shared" si="23"/>
        <v>-70050972.362328023</v>
      </c>
      <c r="I106" s="102">
        <f t="shared" si="23"/>
        <v>-49361364.595717162</v>
      </c>
      <c r="J106" s="102">
        <f t="shared" si="23"/>
        <v>-28471884.260012075</v>
      </c>
      <c r="K106" s="102">
        <f t="shared" si="23"/>
        <v>-7330807.3357962966</v>
      </c>
      <c r="L106" s="102">
        <f t="shared" si="23"/>
        <v>14114089.87776944</v>
      </c>
      <c r="M106" s="102">
        <f t="shared" si="23"/>
        <v>35915660.072995752</v>
      </c>
      <c r="N106" s="102">
        <f t="shared" si="23"/>
        <v>58127515.492916405</v>
      </c>
      <c r="O106" s="102">
        <f t="shared" si="23"/>
        <v>80804160.063019574</v>
      </c>
      <c r="P106" s="102">
        <f t="shared" si="23"/>
        <v>104001123.42185509</v>
      </c>
      <c r="Q106" s="102">
        <f t="shared" si="23"/>
        <v>127775097.18084818</v>
      </c>
      <c r="R106" s="102">
        <f t="shared" si="23"/>
        <v>152184073.7483958</v>
      </c>
      <c r="S106" s="102">
        <f t="shared" si="23"/>
        <v>177287488.05889547</v>
      </c>
      <c r="T106" s="102">
        <f t="shared" si="23"/>
        <v>203146362.55376631</v>
      </c>
      <c r="U106" s="102">
        <f t="shared" si="23"/>
        <v>229823455.76878428</v>
      </c>
      <c r="V106" s="102">
        <f t="shared" si="23"/>
        <v>257383414.89018673</v>
      </c>
      <c r="W106" s="102">
        <f t="shared" si="23"/>
        <v>285892932.65101099</v>
      </c>
      <c r="X106" s="102">
        <f t="shared" si="23"/>
        <v>315420908.94906092</v>
      </c>
      <c r="Y106" s="102">
        <f t="shared" si="23"/>
        <v>346038617.57873821</v>
      </c>
      <c r="Z106" s="102">
        <f t="shared" si="23"/>
        <v>377819878.48078823</v>
      </c>
    </row>
    <row r="107" spans="1:26" ht="15" hidden="1" customHeight="1" outlineLevel="1" x14ac:dyDescent="0.3">
      <c r="A107" s="101" t="s">
        <v>485</v>
      </c>
      <c r="B107" s="102">
        <f>$J$82+B106</f>
        <v>1400000000</v>
      </c>
      <c r="C107" s="102">
        <f t="shared" ref="C107:Z107" si="24">B107+C106</f>
        <v>1227707577.9200001</v>
      </c>
      <c r="D107" s="102">
        <f t="shared" si="24"/>
        <v>1075872733.76</v>
      </c>
      <c r="E107" s="102">
        <f t="shared" si="24"/>
        <v>944439736.4648</v>
      </c>
      <c r="F107" s="102">
        <f t="shared" si="24"/>
        <v>833403998.92400002</v>
      </c>
      <c r="G107" s="102">
        <f t="shared" si="24"/>
        <v>742811938.64436197</v>
      </c>
      <c r="H107" s="102">
        <f t="shared" si="24"/>
        <v>672760966.28203392</v>
      </c>
      <c r="I107" s="102">
        <f t="shared" si="24"/>
        <v>623399601.68631673</v>
      </c>
      <c r="J107" s="102">
        <f t="shared" si="24"/>
        <v>594927717.4263047</v>
      </c>
      <c r="K107" s="102">
        <f t="shared" si="24"/>
        <v>587596910.09050846</v>
      </c>
      <c r="L107" s="102">
        <f t="shared" si="24"/>
        <v>601710999.96827793</v>
      </c>
      <c r="M107" s="102">
        <f t="shared" si="24"/>
        <v>637626660.04127371</v>
      </c>
      <c r="N107" s="102">
        <f t="shared" si="24"/>
        <v>695754175.53419018</v>
      </c>
      <c r="O107" s="102">
        <f t="shared" si="24"/>
        <v>776558335.59720969</v>
      </c>
      <c r="P107" s="102">
        <f t="shared" si="24"/>
        <v>880559459.01906478</v>
      </c>
      <c r="Q107" s="102">
        <f t="shared" si="24"/>
        <v>1008334556.199913</v>
      </c>
      <c r="R107" s="102">
        <f t="shared" si="24"/>
        <v>1160518629.9483089</v>
      </c>
      <c r="S107" s="102">
        <f t="shared" si="24"/>
        <v>1337806118.0072045</v>
      </c>
      <c r="T107" s="102">
        <f t="shared" si="24"/>
        <v>1540952480.5609708</v>
      </c>
      <c r="U107" s="102">
        <f t="shared" si="24"/>
        <v>1770775936.3297551</v>
      </c>
      <c r="V107" s="102">
        <f t="shared" si="24"/>
        <v>2028159351.2199419</v>
      </c>
      <c r="W107" s="102">
        <f t="shared" si="24"/>
        <v>2314052283.8709526</v>
      </c>
      <c r="X107" s="102">
        <f t="shared" si="24"/>
        <v>2629473192.8200135</v>
      </c>
      <c r="Y107" s="102">
        <f t="shared" si="24"/>
        <v>2975511810.3987517</v>
      </c>
      <c r="Z107" s="102">
        <f t="shared" si="24"/>
        <v>3353331688.87954</v>
      </c>
    </row>
    <row r="108" spans="1:26" ht="15" hidden="1" customHeight="1" outlineLevel="1" x14ac:dyDescent="0.3">
      <c r="A108" s="101" t="s">
        <v>486</v>
      </c>
      <c r="B108" s="102">
        <f>B106</f>
        <v>-600000000</v>
      </c>
      <c r="C108" s="102">
        <f t="shared" ref="C108:Z108" si="25">B108+C106</f>
        <v>-772292422.08000004</v>
      </c>
      <c r="D108" s="102">
        <f t="shared" si="25"/>
        <v>-924127266.24000001</v>
      </c>
      <c r="E108" s="102">
        <f t="shared" si="25"/>
        <v>-1055560263.5352</v>
      </c>
      <c r="F108" s="102">
        <f t="shared" si="25"/>
        <v>-1166596001.076</v>
      </c>
      <c r="G108" s="102">
        <f t="shared" si="25"/>
        <v>-1257188061.355638</v>
      </c>
      <c r="H108" s="102">
        <f t="shared" si="25"/>
        <v>-1327239033.7179661</v>
      </c>
      <c r="I108" s="102">
        <f t="shared" si="25"/>
        <v>-1376600398.3136833</v>
      </c>
      <c r="J108" s="102">
        <f t="shared" si="25"/>
        <v>-1405072282.5736954</v>
      </c>
      <c r="K108" s="102">
        <f t="shared" si="25"/>
        <v>-1412403089.9094918</v>
      </c>
      <c r="L108" s="102">
        <f t="shared" si="25"/>
        <v>-1398289000.0317223</v>
      </c>
      <c r="M108" s="102">
        <f t="shared" si="25"/>
        <v>-1362373339.9587266</v>
      </c>
      <c r="N108" s="102">
        <f t="shared" si="25"/>
        <v>-1304245824.4658103</v>
      </c>
      <c r="O108" s="102">
        <f t="shared" si="25"/>
        <v>-1223441664.4027908</v>
      </c>
      <c r="P108" s="102">
        <f t="shared" si="25"/>
        <v>-1119440540.9809356</v>
      </c>
      <c r="Q108" s="102">
        <f t="shared" si="25"/>
        <v>-991665443.80008745</v>
      </c>
      <c r="R108" s="102">
        <f t="shared" si="25"/>
        <v>-839481370.05169165</v>
      </c>
      <c r="S108" s="102">
        <f t="shared" si="25"/>
        <v>-662193881.99279618</v>
      </c>
      <c r="T108" s="102">
        <f t="shared" si="25"/>
        <v>-459047519.43902987</v>
      </c>
      <c r="U108" s="102">
        <f t="shared" si="25"/>
        <v>-229224063.67024559</v>
      </c>
      <c r="V108" s="102">
        <f t="shared" si="25"/>
        <v>28159351.219941139</v>
      </c>
      <c r="W108" s="102">
        <f t="shared" si="25"/>
        <v>314052283.87095213</v>
      </c>
      <c r="X108" s="102">
        <f t="shared" si="25"/>
        <v>629473192.82001305</v>
      </c>
      <c r="Y108" s="102">
        <f t="shared" si="25"/>
        <v>975511810.39875126</v>
      </c>
      <c r="Z108" s="102">
        <f t="shared" si="25"/>
        <v>1353331688.8795395</v>
      </c>
    </row>
    <row r="109" spans="1:26" ht="15" hidden="1" customHeight="1" outlineLevel="1" x14ac:dyDescent="0.3"/>
    <row r="110" spans="1:26" ht="15" hidden="1" customHeight="1" outlineLevel="1" x14ac:dyDescent="0.3">
      <c r="A110" s="101" t="s">
        <v>487</v>
      </c>
      <c r="C110" s="103">
        <f>$D$83*(1+$E$83)^0</f>
        <v>30</v>
      </c>
      <c r="D110" s="103">
        <f>$D$83*(1+$E$83)^1</f>
        <v>31.5</v>
      </c>
      <c r="E110" s="103">
        <f>$D$83*(1+$E$83)^2</f>
        <v>33.075000000000003</v>
      </c>
      <c r="F110" s="103">
        <f>$D$83*(1+$E$83)^3</f>
        <v>34.728750000000005</v>
      </c>
      <c r="G110" s="103">
        <f>$D$83*(1+$E$83)^4</f>
        <v>36.465187499999999</v>
      </c>
      <c r="H110" s="103">
        <f>$D$83*(1+$E$83)^5</f>
        <v>38.288446875000005</v>
      </c>
      <c r="I110" s="103">
        <f>$D$83*(1+$E$83)^6</f>
        <v>40.202869218749996</v>
      </c>
      <c r="J110" s="103">
        <f>$D$83*(1+$E$83)^7</f>
        <v>42.213012679687509</v>
      </c>
      <c r="K110" s="103">
        <f>$D$83*(1+$E$83)^8</f>
        <v>44.323663313671879</v>
      </c>
      <c r="L110" s="103">
        <f>$D$83*(1+$E$83)^9</f>
        <v>46.539846479355475</v>
      </c>
      <c r="M110" s="103">
        <f>$D$83*(1+$E$83)^10</f>
        <v>48.866838803323247</v>
      </c>
      <c r="N110" s="103">
        <f>$D$83*(1+$E$83)^11</f>
        <v>51.310180743489411</v>
      </c>
      <c r="O110" s="103">
        <f>$D$83*(1+$E$83)^12</f>
        <v>53.875689780663876</v>
      </c>
      <c r="P110" s="103">
        <f>$D$83*(1+$E$83)^13</f>
        <v>56.569474269697082</v>
      </c>
      <c r="Q110" s="103">
        <f>$D$83*(1+$E$83)^14</f>
        <v>59.397947983181922</v>
      </c>
      <c r="R110" s="103">
        <f>$D$83*(1+$E$83)^15</f>
        <v>62.367845382341038</v>
      </c>
      <c r="S110" s="103">
        <f>$D$83*(1+$E$83)^16</f>
        <v>65.486237651458083</v>
      </c>
      <c r="T110" s="103">
        <f>$D$83*(1+$E$83)^17</f>
        <v>68.760549534031</v>
      </c>
      <c r="U110" s="103">
        <f>$D$83*(1+$E$83)^18</f>
        <v>72.198577010732549</v>
      </c>
      <c r="V110" s="103">
        <f>$D$83*(1+$E$83)^19</f>
        <v>75.808505861269168</v>
      </c>
      <c r="W110" s="103">
        <f>$D$83*(1+$E$83)^20</f>
        <v>79.598931154332632</v>
      </c>
      <c r="X110" s="103">
        <f>$D$83*(1+$E$83)^21</f>
        <v>83.578877712049263</v>
      </c>
      <c r="Y110" s="103">
        <f>$D$83*(1+$E$83)^22</f>
        <v>87.757821597651713</v>
      </c>
      <c r="Z110" s="103">
        <f>$D$83*(1+$E$83)^23</f>
        <v>92.14571267753432</v>
      </c>
    </row>
    <row r="111" spans="1:26" ht="15" hidden="1" customHeight="1" outlineLevel="1" x14ac:dyDescent="0.3">
      <c r="A111" s="101" t="s">
        <v>488</v>
      </c>
      <c r="B111" s="101">
        <v>0</v>
      </c>
      <c r="C111" s="103">
        <f t="shared" ref="C111:Z111" si="26">B111*(1-$F$83)+C110</f>
        <v>30</v>
      </c>
      <c r="D111" s="103">
        <f t="shared" si="26"/>
        <v>59.7</v>
      </c>
      <c r="E111" s="103">
        <f t="shared" si="26"/>
        <v>89.193000000000012</v>
      </c>
      <c r="F111" s="103">
        <f t="shared" si="26"/>
        <v>118.57017000000002</v>
      </c>
      <c r="G111" s="103">
        <f t="shared" si="26"/>
        <v>147.92114730000003</v>
      </c>
      <c r="H111" s="103">
        <f t="shared" si="26"/>
        <v>177.33432533700002</v>
      </c>
      <c r="I111" s="103">
        <f t="shared" si="26"/>
        <v>206.89713503553003</v>
      </c>
      <c r="J111" s="103">
        <f t="shared" si="26"/>
        <v>236.69631961308573</v>
      </c>
      <c r="K111" s="103">
        <f t="shared" si="26"/>
        <v>266.81820374997244</v>
      </c>
      <c r="L111" s="103">
        <f t="shared" si="26"/>
        <v>297.34895800432957</v>
      </c>
      <c r="M111" s="103">
        <f t="shared" si="26"/>
        <v>328.37485932739298</v>
      </c>
      <c r="N111" s="103">
        <f t="shared" si="26"/>
        <v>359.9825485112388</v>
      </c>
      <c r="O111" s="103">
        <f t="shared" si="26"/>
        <v>392.25928538122832</v>
      </c>
      <c r="P111" s="103">
        <f t="shared" si="26"/>
        <v>425.29320252805167</v>
      </c>
      <c r="Q111" s="103">
        <f t="shared" si="26"/>
        <v>459.1735583595505</v>
      </c>
      <c r="R111" s="103">
        <f t="shared" si="26"/>
        <v>493.99099024031847</v>
      </c>
      <c r="S111" s="103">
        <f t="shared" si="26"/>
        <v>529.83776847735737</v>
      </c>
      <c r="T111" s="103">
        <f t="shared" si="26"/>
        <v>566.80805190274691</v>
      </c>
      <c r="U111" s="103">
        <f t="shared" si="26"/>
        <v>604.99814579931467</v>
      </c>
      <c r="V111" s="103">
        <f t="shared" si="26"/>
        <v>644.50676291262494</v>
      </c>
      <c r="W111" s="103">
        <f t="shared" si="26"/>
        <v>685.43528829219997</v>
      </c>
      <c r="X111" s="103">
        <f t="shared" si="26"/>
        <v>727.8880487067172</v>
      </c>
      <c r="Y111" s="103">
        <f t="shared" si="26"/>
        <v>771.97258738196592</v>
      </c>
      <c r="Z111" s="103">
        <f t="shared" si="26"/>
        <v>817.7999448165823</v>
      </c>
    </row>
    <row r="112" spans="1:26" ht="15" hidden="1" customHeight="1" outlineLevel="1" x14ac:dyDescent="0.3">
      <c r="A112" s="101" t="s">
        <v>489</v>
      </c>
      <c r="B112" s="102">
        <f>-$I$83</f>
        <v>-600000000</v>
      </c>
      <c r="C112" s="102">
        <f t="shared" ref="C112:Z112" si="27">C111*($B$83-$C$83)-C110*$G$83-$H$83</f>
        <v>-170544518.40000001</v>
      </c>
      <c r="D112" s="102">
        <f t="shared" si="27"/>
        <v>-148583591.616</v>
      </c>
      <c r="E112" s="102">
        <f t="shared" si="27"/>
        <v>-126903907.65504</v>
      </c>
      <c r="F112" s="102">
        <f t="shared" si="27"/>
        <v>-105436771.3085376</v>
      </c>
      <c r="G112" s="102">
        <f t="shared" si="27"/>
        <v>-84115018.048465326</v>
      </c>
      <c r="H112" s="102">
        <f t="shared" si="27"/>
        <v>-62872792.634919405</v>
      </c>
      <c r="I112" s="102">
        <f t="shared" si="27"/>
        <v>-41645334.529654354</v>
      </c>
      <c r="J112" s="102">
        <f t="shared" si="27"/>
        <v>-20368769.383346692</v>
      </c>
      <c r="K112" s="102">
        <f t="shared" si="27"/>
        <v>1020094.1079089046</v>
      </c>
      <c r="L112" s="102">
        <f t="shared" si="27"/>
        <v>22583962.656101942</v>
      </c>
      <c r="M112" s="102">
        <f t="shared" si="27"/>
        <v>44385252.801136702</v>
      </c>
      <c r="N112" s="102">
        <f t="shared" si="27"/>
        <v>66486281.932689428</v>
      </c>
      <c r="O112" s="102">
        <f t="shared" si="27"/>
        <v>88949456.531330109</v>
      </c>
      <c r="P112" s="102">
        <f t="shared" si="27"/>
        <v>111837458.2297824</v>
      </c>
      <c r="Q112" s="102">
        <f t="shared" si="27"/>
        <v>135213428.28084421</v>
      </c>
      <c r="R112" s="102">
        <f t="shared" si="27"/>
        <v>159141151.00608468</v>
      </c>
      <c r="S112" s="102">
        <f t="shared" si="27"/>
        <v>183685236.78891528</v>
      </c>
      <c r="T112" s="102">
        <f t="shared" si="27"/>
        <v>208911305.16693592</v>
      </c>
      <c r="U112" s="102">
        <f t="shared" si="27"/>
        <v>234886168.5715431</v>
      </c>
      <c r="V112" s="102">
        <f t="shared" si="27"/>
        <v>261678017.25760496</v>
      </c>
      <c r="W112" s="102">
        <f t="shared" si="27"/>
        <v>289356605.96252072</v>
      </c>
      <c r="X112" s="102">
        <f t="shared" si="27"/>
        <v>317993442.83216035</v>
      </c>
      <c r="Y112" s="102">
        <f t="shared" si="27"/>
        <v>347661981.15099108</v>
      </c>
      <c r="Z112" s="102">
        <f t="shared" si="27"/>
        <v>378437814.4151299</v>
      </c>
    </row>
    <row r="113" spans="1:26" ht="15" hidden="1" customHeight="1" outlineLevel="1" x14ac:dyDescent="0.3">
      <c r="A113" s="101" t="s">
        <v>490</v>
      </c>
      <c r="B113" s="102">
        <f>$J$83+B112</f>
        <v>1400000000</v>
      </c>
      <c r="C113" s="102">
        <f t="shared" ref="C113:Z113" si="28">B113+C112</f>
        <v>1229455481.5999999</v>
      </c>
      <c r="D113" s="102">
        <f t="shared" si="28"/>
        <v>1080871889.984</v>
      </c>
      <c r="E113" s="102">
        <f t="shared" si="28"/>
        <v>953967982.32895994</v>
      </c>
      <c r="F113" s="102">
        <f t="shared" si="28"/>
        <v>848531211.02042234</v>
      </c>
      <c r="G113" s="102">
        <f t="shared" si="28"/>
        <v>764416192.97195697</v>
      </c>
      <c r="H113" s="102">
        <f t="shared" si="28"/>
        <v>701543400.33703756</v>
      </c>
      <c r="I113" s="102">
        <f t="shared" si="28"/>
        <v>659898065.80738318</v>
      </c>
      <c r="J113" s="102">
        <f t="shared" si="28"/>
        <v>639529296.4240365</v>
      </c>
      <c r="K113" s="102">
        <f t="shared" si="28"/>
        <v>640549390.53194547</v>
      </c>
      <c r="L113" s="102">
        <f t="shared" si="28"/>
        <v>663133353.18804741</v>
      </c>
      <c r="M113" s="102">
        <f t="shared" si="28"/>
        <v>707518605.98918414</v>
      </c>
      <c r="N113" s="102">
        <f t="shared" si="28"/>
        <v>774004887.92187357</v>
      </c>
      <c r="O113" s="102">
        <f t="shared" si="28"/>
        <v>862954344.45320368</v>
      </c>
      <c r="P113" s="102">
        <f t="shared" si="28"/>
        <v>974791802.68298602</v>
      </c>
      <c r="Q113" s="102">
        <f t="shared" si="28"/>
        <v>1110005230.9638302</v>
      </c>
      <c r="R113" s="102">
        <f t="shared" si="28"/>
        <v>1269146381.9699149</v>
      </c>
      <c r="S113" s="102">
        <f t="shared" si="28"/>
        <v>1452831618.7588301</v>
      </c>
      <c r="T113" s="102">
        <f t="shared" si="28"/>
        <v>1661742923.925766</v>
      </c>
      <c r="U113" s="102">
        <f t="shared" si="28"/>
        <v>1896629092.4973092</v>
      </c>
      <c r="V113" s="102">
        <f t="shared" si="28"/>
        <v>2158307109.7549143</v>
      </c>
      <c r="W113" s="102">
        <f t="shared" si="28"/>
        <v>2447663715.7174349</v>
      </c>
      <c r="X113" s="102">
        <f t="shared" si="28"/>
        <v>2765657158.5495954</v>
      </c>
      <c r="Y113" s="102">
        <f t="shared" si="28"/>
        <v>3113319139.7005863</v>
      </c>
      <c r="Z113" s="102">
        <f t="shared" si="28"/>
        <v>3491756954.115716</v>
      </c>
    </row>
    <row r="114" spans="1:26" ht="15" hidden="1" customHeight="1" outlineLevel="1" x14ac:dyDescent="0.3">
      <c r="A114" s="101" t="s">
        <v>491</v>
      </c>
      <c r="B114" s="102">
        <f>B112</f>
        <v>-600000000</v>
      </c>
      <c r="C114" s="102">
        <f t="shared" ref="C114:Z114" si="29">B114+C112</f>
        <v>-770544518.39999998</v>
      </c>
      <c r="D114" s="102">
        <f t="shared" si="29"/>
        <v>-919128110.01600003</v>
      </c>
      <c r="E114" s="102">
        <f t="shared" si="29"/>
        <v>-1046032017.6710401</v>
      </c>
      <c r="F114" s="102">
        <f t="shared" si="29"/>
        <v>-1151468788.9795775</v>
      </c>
      <c r="G114" s="102">
        <f t="shared" si="29"/>
        <v>-1235583807.0280428</v>
      </c>
      <c r="H114" s="102">
        <f t="shared" si="29"/>
        <v>-1298456599.6629622</v>
      </c>
      <c r="I114" s="102">
        <f t="shared" si="29"/>
        <v>-1340101934.1926165</v>
      </c>
      <c r="J114" s="102">
        <f t="shared" si="29"/>
        <v>-1360470703.5759633</v>
      </c>
      <c r="K114" s="102">
        <f t="shared" si="29"/>
        <v>-1359450609.4680543</v>
      </c>
      <c r="L114" s="102">
        <f t="shared" si="29"/>
        <v>-1336866646.8119524</v>
      </c>
      <c r="M114" s="102">
        <f t="shared" si="29"/>
        <v>-1292481394.0108156</v>
      </c>
      <c r="N114" s="102">
        <f t="shared" si="29"/>
        <v>-1225995112.0781262</v>
      </c>
      <c r="O114" s="102">
        <f t="shared" si="29"/>
        <v>-1137045655.5467961</v>
      </c>
      <c r="P114" s="102">
        <f t="shared" si="29"/>
        <v>-1025208197.3170137</v>
      </c>
      <c r="Q114" s="102">
        <f t="shared" si="29"/>
        <v>-889994769.03616953</v>
      </c>
      <c r="R114" s="102">
        <f t="shared" si="29"/>
        <v>-730853618.03008485</v>
      </c>
      <c r="S114" s="102">
        <f t="shared" si="29"/>
        <v>-547168381.24116957</v>
      </c>
      <c r="T114" s="102">
        <f t="shared" si="29"/>
        <v>-338257076.07423365</v>
      </c>
      <c r="U114" s="102">
        <f t="shared" si="29"/>
        <v>-103370907.50269055</v>
      </c>
      <c r="V114" s="102">
        <f t="shared" si="29"/>
        <v>158307109.7549144</v>
      </c>
      <c r="W114" s="102">
        <f t="shared" si="29"/>
        <v>447663715.71743512</v>
      </c>
      <c r="X114" s="102">
        <f t="shared" si="29"/>
        <v>765657158.54959548</v>
      </c>
      <c r="Y114" s="102">
        <f t="shared" si="29"/>
        <v>1113319139.7005866</v>
      </c>
      <c r="Z114" s="102">
        <f t="shared" si="29"/>
        <v>1491756954.1157165</v>
      </c>
    </row>
    <row r="115" spans="1:26" ht="15" hidden="1" customHeight="1" outlineLevel="1" x14ac:dyDescent="0.3"/>
    <row r="116" spans="1:26" ht="15" hidden="1" customHeight="1" outlineLevel="1" x14ac:dyDescent="0.3">
      <c r="A116" s="101" t="s">
        <v>492</v>
      </c>
      <c r="C116" s="103">
        <f>$D$84*(1+$E$84)^0</f>
        <v>30</v>
      </c>
      <c r="D116" s="103">
        <f>$D$84*(1+$E$84)^1</f>
        <v>31.5</v>
      </c>
      <c r="E116" s="103">
        <f>$D$84*(1+$E$84)^2</f>
        <v>33.075000000000003</v>
      </c>
      <c r="F116" s="103">
        <f>$D$84*(1+$E$84)^3</f>
        <v>34.728750000000005</v>
      </c>
      <c r="G116" s="103">
        <f>$D$84*(1+$E$84)^4</f>
        <v>36.465187499999999</v>
      </c>
      <c r="H116" s="103">
        <f>$D$84*(1+$E$84)^5</f>
        <v>38.288446875000005</v>
      </c>
      <c r="I116" s="103">
        <f>$D$84*(1+$E$84)^6</f>
        <v>40.202869218749996</v>
      </c>
      <c r="J116" s="103">
        <f>$D$84*(1+$E$84)^7</f>
        <v>42.213012679687509</v>
      </c>
      <c r="K116" s="103">
        <f>$D$84*(1+$E$84)^8</f>
        <v>44.323663313671879</v>
      </c>
      <c r="L116" s="103">
        <f>$D$84*(1+$E$84)^9</f>
        <v>46.539846479355475</v>
      </c>
      <c r="M116" s="103">
        <f>$D$84*(1+$E$84)^10</f>
        <v>48.866838803323247</v>
      </c>
      <c r="N116" s="103">
        <f>$D$84*(1+$E$84)^11</f>
        <v>51.310180743489411</v>
      </c>
      <c r="O116" s="103">
        <f>$D$84*(1+$E$84)^12</f>
        <v>53.875689780663876</v>
      </c>
      <c r="P116" s="103">
        <f>$D$84*(1+$E$84)^13</f>
        <v>56.569474269697082</v>
      </c>
      <c r="Q116" s="103">
        <f>$D$84*(1+$E$84)^14</f>
        <v>59.397947983181922</v>
      </c>
      <c r="R116" s="103">
        <f>$D$84*(1+$E$84)^15</f>
        <v>62.367845382341038</v>
      </c>
      <c r="S116" s="103">
        <f>$D$84*(1+$E$84)^16</f>
        <v>65.486237651458083</v>
      </c>
      <c r="T116" s="103">
        <f>$D$84*(1+$E$84)^17</f>
        <v>68.760549534031</v>
      </c>
      <c r="U116" s="103">
        <f>$D$84*(1+$E$84)^18</f>
        <v>72.198577010732549</v>
      </c>
      <c r="V116" s="103">
        <f>$D$84*(1+$E$84)^19</f>
        <v>75.808505861269168</v>
      </c>
      <c r="W116" s="103">
        <f>$D$84*(1+$E$84)^20</f>
        <v>79.598931154332632</v>
      </c>
      <c r="X116" s="103">
        <f>$D$84*(1+$E$84)^21</f>
        <v>83.578877712049263</v>
      </c>
      <c r="Y116" s="103">
        <f>$D$84*(1+$E$84)^22</f>
        <v>87.757821597651713</v>
      </c>
      <c r="Z116" s="103">
        <f>$D$84*(1+$E$84)^23</f>
        <v>92.14571267753432</v>
      </c>
    </row>
    <row r="117" spans="1:26" ht="15" hidden="1" customHeight="1" outlineLevel="1" x14ac:dyDescent="0.3">
      <c r="A117" s="101" t="s">
        <v>493</v>
      </c>
      <c r="B117" s="101">
        <v>0</v>
      </c>
      <c r="C117" s="103">
        <f t="shared" ref="C117:Z117" si="30">B117*(1-$F$84)+C116</f>
        <v>30</v>
      </c>
      <c r="D117" s="103">
        <f t="shared" si="30"/>
        <v>60</v>
      </c>
      <c r="E117" s="103">
        <f t="shared" si="30"/>
        <v>90.075000000000003</v>
      </c>
      <c r="F117" s="103">
        <f t="shared" si="30"/>
        <v>120.3</v>
      </c>
      <c r="G117" s="103">
        <f t="shared" si="30"/>
        <v>150.75018749999998</v>
      </c>
      <c r="H117" s="103">
        <f t="shared" si="30"/>
        <v>181.50112499999997</v>
      </c>
      <c r="I117" s="103">
        <f t="shared" si="30"/>
        <v>212.62893796874994</v>
      </c>
      <c r="J117" s="103">
        <f t="shared" si="30"/>
        <v>244.21050374999993</v>
      </c>
      <c r="K117" s="103">
        <f t="shared" si="30"/>
        <v>276.32364187617179</v>
      </c>
      <c r="L117" s="103">
        <f t="shared" si="30"/>
        <v>309.04730626171863</v>
      </c>
      <c r="M117" s="103">
        <f t="shared" si="30"/>
        <v>342.46177975195599</v>
      </c>
      <c r="N117" s="103">
        <f t="shared" si="30"/>
        <v>376.64887150784756</v>
      </c>
      <c r="O117" s="103">
        <f t="shared" si="30"/>
        <v>411.69211771311905</v>
      </c>
      <c r="P117" s="103">
        <f t="shared" si="30"/>
        <v>447.67698609716018</v>
      </c>
      <c r="Q117" s="103">
        <f t="shared" si="30"/>
        <v>484.69108477548411</v>
      </c>
      <c r="R117" s="103">
        <f t="shared" si="30"/>
        <v>522.82437591905091</v>
      </c>
      <c r="S117" s="103">
        <f t="shared" si="30"/>
        <v>562.16939477455639</v>
      </c>
      <c r="T117" s="103">
        <f t="shared" si="30"/>
        <v>602.82147456985956</v>
      </c>
      <c r="U117" s="103">
        <f t="shared" si="30"/>
        <v>644.87897785209907</v>
      </c>
      <c r="V117" s="103">
        <f t="shared" si="30"/>
        <v>688.44353482076326</v>
      </c>
      <c r="W117" s="103">
        <f t="shared" si="30"/>
        <v>733.62028923405762</v>
      </c>
      <c r="X117" s="103">
        <f t="shared" si="30"/>
        <v>780.51815248440391</v>
      </c>
      <c r="Y117" s="103">
        <f t="shared" si="30"/>
        <v>829.25006645783537</v>
      </c>
      <c r="Z117" s="103">
        <f t="shared" si="30"/>
        <v>879.93327581247786</v>
      </c>
    </row>
    <row r="118" spans="1:26" ht="15" hidden="1" customHeight="1" outlineLevel="1" x14ac:dyDescent="0.3">
      <c r="A118" s="101" t="s">
        <v>494</v>
      </c>
      <c r="B118" s="102">
        <f>-$I$84</f>
        <v>-600000000</v>
      </c>
      <c r="C118" s="102">
        <f t="shared" ref="C118:Z118" si="31">C117*($B$84-$C$84)-C116*$G$84-$H$84</f>
        <v>-179544518.40000001</v>
      </c>
      <c r="D118" s="102">
        <f t="shared" si="31"/>
        <v>-157789036.80000001</v>
      </c>
      <c r="E118" s="102">
        <f t="shared" si="31"/>
        <v>-136107416.49600002</v>
      </c>
      <c r="F118" s="102">
        <f t="shared" si="31"/>
        <v>-114445268.78400001</v>
      </c>
      <c r="G118" s="102">
        <f t="shared" si="31"/>
        <v>-92748389.613240018</v>
      </c>
      <c r="H118" s="102">
        <f t="shared" si="31"/>
        <v>-70962623.614440039</v>
      </c>
      <c r="I118" s="102">
        <f t="shared" si="31"/>
        <v>-49033728.589673147</v>
      </c>
      <c r="J118" s="102">
        <f t="shared" si="31"/>
        <v>-26907240.123942375</v>
      </c>
      <c r="K118" s="102">
        <f t="shared" si="31"/>
        <v>-4528335.9796857536</v>
      </c>
      <c r="L118" s="102">
        <f t="shared" si="31"/>
        <v>18158300.06426096</v>
      </c>
      <c r="M118" s="102">
        <f t="shared" si="31"/>
        <v>41208615.268258572</v>
      </c>
      <c r="N118" s="102">
        <f t="shared" si="31"/>
        <v>64679326.222416729</v>
      </c>
      <c r="O118" s="102">
        <f t="shared" si="31"/>
        <v>88628058.714745581</v>
      </c>
      <c r="P118" s="102">
        <f t="shared" si="31"/>
        <v>113113489.52263045</v>
      </c>
      <c r="Q118" s="102">
        <f t="shared" si="31"/>
        <v>138195490.47730231</v>
      </c>
      <c r="R118" s="102">
        <f t="shared" si="31"/>
        <v>163935275.15578049</v>
      </c>
      <c r="S118" s="102">
        <f t="shared" si="31"/>
        <v>190395548.5604521</v>
      </c>
      <c r="T118" s="102">
        <f t="shared" si="31"/>
        <v>217640660.15301311</v>
      </c>
      <c r="U118" s="102">
        <f t="shared" si="31"/>
        <v>245736760.61697525</v>
      </c>
      <c r="V118" s="102">
        <f t="shared" si="31"/>
        <v>274751962.73132002</v>
      </c>
      <c r="W118" s="102">
        <f t="shared" si="31"/>
        <v>304756506.74720705</v>
      </c>
      <c r="X118" s="102">
        <f t="shared" si="31"/>
        <v>335822930.66992235</v>
      </c>
      <c r="Y118" s="102">
        <f t="shared" si="31"/>
        <v>368026245.85950589</v>
      </c>
      <c r="Z118" s="102">
        <f t="shared" si="31"/>
        <v>401444118.37576413</v>
      </c>
    </row>
    <row r="119" spans="1:26" ht="15" hidden="1" customHeight="1" outlineLevel="1" x14ac:dyDescent="0.3">
      <c r="A119" s="101" t="s">
        <v>495</v>
      </c>
      <c r="B119" s="102">
        <f>$J$84+B118</f>
        <v>1400000000</v>
      </c>
      <c r="C119" s="102">
        <f t="shared" ref="C119:Z119" si="32">B119+C118</f>
        <v>1220455481.5999999</v>
      </c>
      <c r="D119" s="102">
        <f t="shared" si="32"/>
        <v>1062666444.8</v>
      </c>
      <c r="E119" s="102">
        <f t="shared" si="32"/>
        <v>926559028.3039999</v>
      </c>
      <c r="F119" s="102">
        <f t="shared" si="32"/>
        <v>812113759.51999986</v>
      </c>
      <c r="G119" s="102">
        <f t="shared" si="32"/>
        <v>719365369.90675986</v>
      </c>
      <c r="H119" s="102">
        <f t="shared" si="32"/>
        <v>648402746.29231977</v>
      </c>
      <c r="I119" s="102">
        <f t="shared" si="32"/>
        <v>599369017.70264661</v>
      </c>
      <c r="J119" s="102">
        <f t="shared" si="32"/>
        <v>572461777.57870424</v>
      </c>
      <c r="K119" s="102">
        <f t="shared" si="32"/>
        <v>567933441.59901845</v>
      </c>
      <c r="L119" s="102">
        <f t="shared" si="32"/>
        <v>586091741.66327941</v>
      </c>
      <c r="M119" s="102">
        <f t="shared" si="32"/>
        <v>627300356.93153799</v>
      </c>
      <c r="N119" s="102">
        <f t="shared" si="32"/>
        <v>691979683.15395474</v>
      </c>
      <c r="O119" s="102">
        <f t="shared" si="32"/>
        <v>780607741.86870027</v>
      </c>
      <c r="P119" s="102">
        <f t="shared" si="32"/>
        <v>893721231.39133072</v>
      </c>
      <c r="Q119" s="102">
        <f t="shared" si="32"/>
        <v>1031916721.868633</v>
      </c>
      <c r="R119" s="102">
        <f t="shared" si="32"/>
        <v>1195851997.0244136</v>
      </c>
      <c r="S119" s="102">
        <f t="shared" si="32"/>
        <v>1386247545.5848656</v>
      </c>
      <c r="T119" s="102">
        <f t="shared" si="32"/>
        <v>1603888205.7378788</v>
      </c>
      <c r="U119" s="102">
        <f t="shared" si="32"/>
        <v>1849624966.3548541</v>
      </c>
      <c r="V119" s="102">
        <f t="shared" si="32"/>
        <v>2124376929.086174</v>
      </c>
      <c r="W119" s="102">
        <f t="shared" si="32"/>
        <v>2429133435.8333812</v>
      </c>
      <c r="X119" s="102">
        <f t="shared" si="32"/>
        <v>2764956366.5033035</v>
      </c>
      <c r="Y119" s="102">
        <f t="shared" si="32"/>
        <v>3132982612.3628092</v>
      </c>
      <c r="Z119" s="102">
        <f t="shared" si="32"/>
        <v>3534426730.7385731</v>
      </c>
    </row>
    <row r="120" spans="1:26" ht="15" hidden="1" customHeight="1" outlineLevel="1" x14ac:dyDescent="0.3">
      <c r="A120" s="101" t="s">
        <v>496</v>
      </c>
      <c r="B120" s="102">
        <f>B118</f>
        <v>-600000000</v>
      </c>
      <c r="C120" s="102">
        <f t="shared" ref="C120:Z120" si="33">B120+C118</f>
        <v>-779544518.39999998</v>
      </c>
      <c r="D120" s="102">
        <f t="shared" si="33"/>
        <v>-937333555.20000005</v>
      </c>
      <c r="E120" s="102">
        <f t="shared" si="33"/>
        <v>-1073440971.6960001</v>
      </c>
      <c r="F120" s="102">
        <f t="shared" si="33"/>
        <v>-1187886240.48</v>
      </c>
      <c r="G120" s="102">
        <f t="shared" si="33"/>
        <v>-1280634630.09324</v>
      </c>
      <c r="H120" s="102">
        <f t="shared" si="33"/>
        <v>-1351597253.70768</v>
      </c>
      <c r="I120" s="102">
        <f t="shared" si="33"/>
        <v>-1400630982.297353</v>
      </c>
      <c r="J120" s="102">
        <f t="shared" si="33"/>
        <v>-1427538222.4212954</v>
      </c>
      <c r="K120" s="102">
        <f t="shared" si="33"/>
        <v>-1432066558.4009812</v>
      </c>
      <c r="L120" s="102">
        <f t="shared" si="33"/>
        <v>-1413908258.3367202</v>
      </c>
      <c r="M120" s="102">
        <f t="shared" si="33"/>
        <v>-1372699643.0684617</v>
      </c>
      <c r="N120" s="102">
        <f t="shared" si="33"/>
        <v>-1308020316.846045</v>
      </c>
      <c r="O120" s="102">
        <f t="shared" si="33"/>
        <v>-1219392258.1312995</v>
      </c>
      <c r="P120" s="102">
        <f t="shared" si="33"/>
        <v>-1106278768.608669</v>
      </c>
      <c r="Q120" s="102">
        <f t="shared" si="33"/>
        <v>-968083278.13136673</v>
      </c>
      <c r="R120" s="102">
        <f t="shared" si="33"/>
        <v>-804148002.97558618</v>
      </c>
      <c r="S120" s="102">
        <f t="shared" si="33"/>
        <v>-613752454.41513407</v>
      </c>
      <c r="T120" s="102">
        <f t="shared" si="33"/>
        <v>-396111794.26212096</v>
      </c>
      <c r="U120" s="102">
        <f t="shared" si="33"/>
        <v>-150375033.64514571</v>
      </c>
      <c r="V120" s="102">
        <f t="shared" si="33"/>
        <v>124376929.08617431</v>
      </c>
      <c r="W120" s="102">
        <f t="shared" si="33"/>
        <v>429133435.83338135</v>
      </c>
      <c r="X120" s="102">
        <f t="shared" si="33"/>
        <v>764956366.50330377</v>
      </c>
      <c r="Y120" s="102">
        <f t="shared" si="33"/>
        <v>1132982612.3628097</v>
      </c>
      <c r="Z120" s="102">
        <f t="shared" si="33"/>
        <v>1534426730.7385738</v>
      </c>
    </row>
    <row r="121" spans="1:26" ht="15" hidden="1" customHeight="1" outlineLevel="1" x14ac:dyDescent="0.3"/>
    <row r="122" spans="1:26" ht="15" hidden="1" customHeight="1" outlineLevel="1" x14ac:dyDescent="0.3">
      <c r="A122" s="101" t="s">
        <v>497</v>
      </c>
      <c r="C122" s="103">
        <f>$D$85*(1+$E$85)^0</f>
        <v>24</v>
      </c>
      <c r="D122" s="103">
        <f>$D$85*(1+$E$85)^1</f>
        <v>25.200000000000003</v>
      </c>
      <c r="E122" s="103">
        <f>$D$85*(1+$E$85)^2</f>
        <v>26.46</v>
      </c>
      <c r="F122" s="103">
        <f>$D$85*(1+$E$85)^3</f>
        <v>27.783000000000001</v>
      </c>
      <c r="G122" s="103">
        <f>$D$85*(1+$E$85)^4</f>
        <v>29.172150000000002</v>
      </c>
      <c r="H122" s="103">
        <f>$D$85*(1+$E$85)^5</f>
        <v>30.630757500000001</v>
      </c>
      <c r="I122" s="103">
        <f>$D$85*(1+$E$85)^6</f>
        <v>32.162295374999999</v>
      </c>
      <c r="J122" s="103">
        <f>$D$85*(1+$E$85)^7</f>
        <v>33.770410143750006</v>
      </c>
      <c r="K122" s="103">
        <f>$D$85*(1+$E$85)^8</f>
        <v>35.458930650937504</v>
      </c>
      <c r="L122" s="103">
        <f>$D$85*(1+$E$85)^9</f>
        <v>37.231877183484379</v>
      </c>
      <c r="M122" s="103">
        <f>$D$85*(1+$E$85)^10</f>
        <v>39.093471042658599</v>
      </c>
      <c r="N122" s="103">
        <f>$D$85*(1+$E$85)^11</f>
        <v>41.04814459479153</v>
      </c>
      <c r="O122" s="103">
        <f>$D$85*(1+$E$85)^12</f>
        <v>43.100551824531102</v>
      </c>
      <c r="P122" s="103">
        <f>$D$85*(1+$E$85)^13</f>
        <v>45.255579415757666</v>
      </c>
      <c r="Q122" s="103">
        <f>$D$85*(1+$E$85)^14</f>
        <v>47.518358386545536</v>
      </c>
      <c r="R122" s="103">
        <f>$D$85*(1+$E$85)^15</f>
        <v>49.894276305872829</v>
      </c>
      <c r="S122" s="103">
        <f>$D$85*(1+$E$85)^16</f>
        <v>52.388990121166465</v>
      </c>
      <c r="T122" s="103">
        <f>$D$85*(1+$E$85)^17</f>
        <v>55.008439627224796</v>
      </c>
      <c r="U122" s="103">
        <f>$D$85*(1+$E$85)^18</f>
        <v>57.758861608586031</v>
      </c>
      <c r="V122" s="103">
        <f>$D$85*(1+$E$85)^19</f>
        <v>60.64680468901534</v>
      </c>
      <c r="W122" s="103">
        <f>$D$85*(1+$E$85)^20</f>
        <v>63.679144923466097</v>
      </c>
      <c r="X122" s="103">
        <f>$D$85*(1+$E$85)^21</f>
        <v>66.863102169639404</v>
      </c>
      <c r="Y122" s="103">
        <f>$D$85*(1+$E$85)^22</f>
        <v>70.20625727812137</v>
      </c>
      <c r="Z122" s="103">
        <f>$D$85*(1+$E$85)^23</f>
        <v>73.71657014202745</v>
      </c>
    </row>
    <row r="123" spans="1:26" ht="15" hidden="1" customHeight="1" outlineLevel="1" x14ac:dyDescent="0.3">
      <c r="A123" s="101" t="s">
        <v>498</v>
      </c>
      <c r="B123" s="101">
        <v>0</v>
      </c>
      <c r="C123" s="103">
        <f t="shared" ref="C123:Z123" si="34">B123*(1-$F$85)+C122</f>
        <v>24</v>
      </c>
      <c r="D123" s="103">
        <f t="shared" si="34"/>
        <v>48</v>
      </c>
      <c r="E123" s="103">
        <f t="shared" si="34"/>
        <v>72.06</v>
      </c>
      <c r="F123" s="103">
        <f t="shared" si="34"/>
        <v>96.24</v>
      </c>
      <c r="G123" s="103">
        <f t="shared" si="34"/>
        <v>120.60015</v>
      </c>
      <c r="H123" s="103">
        <f t="shared" si="34"/>
        <v>145.20089999999999</v>
      </c>
      <c r="I123" s="103">
        <f t="shared" si="34"/>
        <v>170.10315037499998</v>
      </c>
      <c r="J123" s="103">
        <f t="shared" si="34"/>
        <v>195.368403</v>
      </c>
      <c r="K123" s="103">
        <f t="shared" si="34"/>
        <v>221.05891350093751</v>
      </c>
      <c r="L123" s="103">
        <f t="shared" si="34"/>
        <v>247.23784500937501</v>
      </c>
      <c r="M123" s="103">
        <f t="shared" si="34"/>
        <v>273.96942380156486</v>
      </c>
      <c r="N123" s="103">
        <f t="shared" si="34"/>
        <v>301.31909720627817</v>
      </c>
      <c r="O123" s="103">
        <f t="shared" si="34"/>
        <v>329.35369417049537</v>
      </c>
      <c r="P123" s="103">
        <f t="shared" si="34"/>
        <v>358.14158887772828</v>
      </c>
      <c r="Q123" s="103">
        <f t="shared" si="34"/>
        <v>387.75286782038739</v>
      </c>
      <c r="R123" s="103">
        <f t="shared" si="34"/>
        <v>418.25950073524086</v>
      </c>
      <c r="S123" s="103">
        <f t="shared" si="34"/>
        <v>449.73551581964523</v>
      </c>
      <c r="T123" s="103">
        <f t="shared" si="34"/>
        <v>482.25717965588774</v>
      </c>
      <c r="U123" s="103">
        <f t="shared" si="34"/>
        <v>515.90318228167939</v>
      </c>
      <c r="V123" s="103">
        <f t="shared" si="34"/>
        <v>550.75482785661075</v>
      </c>
      <c r="W123" s="103">
        <f t="shared" si="34"/>
        <v>586.8962313872463</v>
      </c>
      <c r="X123" s="103">
        <f t="shared" si="34"/>
        <v>624.41452198752336</v>
      </c>
      <c r="Y123" s="103">
        <f t="shared" si="34"/>
        <v>663.40005316626855</v>
      </c>
      <c r="Z123" s="103">
        <f t="shared" si="34"/>
        <v>703.94662064998249</v>
      </c>
    </row>
    <row r="124" spans="1:26" ht="15" hidden="1" customHeight="1" outlineLevel="1" x14ac:dyDescent="0.3">
      <c r="A124" s="101" t="s">
        <v>499</v>
      </c>
      <c r="B124" s="102">
        <f>-$I$85</f>
        <v>-600000000</v>
      </c>
      <c r="C124" s="102">
        <f t="shared" ref="C124:Z124" si="35">C123*($B$85-$C$85)-C122*$G$85-$H$85</f>
        <v>-166435614.72</v>
      </c>
      <c r="D124" s="102">
        <f t="shared" si="35"/>
        <v>-148671229.44</v>
      </c>
      <c r="E124" s="102">
        <f t="shared" si="35"/>
        <v>-130947933.19679999</v>
      </c>
      <c r="F124" s="102">
        <f t="shared" si="35"/>
        <v>-113221315.02720001</v>
      </c>
      <c r="G124" s="102">
        <f t="shared" si="35"/>
        <v>-95447066.690592006</v>
      </c>
      <c r="H124" s="102">
        <f t="shared" si="35"/>
        <v>-77580871.641552016</v>
      </c>
      <c r="I124" s="102">
        <f t="shared" si="35"/>
        <v>-59578294.259238511</v>
      </c>
      <c r="J124" s="102">
        <f t="shared" si="35"/>
        <v>-41394669.056028873</v>
      </c>
      <c r="K124" s="102">
        <f t="shared" si="35"/>
        <v>-22984989.5884673</v>
      </c>
      <c r="L124" s="102">
        <f t="shared" si="35"/>
        <v>-4303796.7935458124</v>
      </c>
      <c r="M124" s="102">
        <f t="shared" si="35"/>
        <v>14694933.527404487</v>
      </c>
      <c r="N124" s="102">
        <f t="shared" si="35"/>
        <v>34057904.356370926</v>
      </c>
      <c r="O124" s="102">
        <f t="shared" si="35"/>
        <v>53832612.51915589</v>
      </c>
      <c r="P124" s="102">
        <f t="shared" si="35"/>
        <v>74067465.442831814</v>
      </c>
      <c r="Q124" s="102">
        <f t="shared" si="35"/>
        <v>94811899.897805572</v>
      </c>
      <c r="R124" s="102">
        <f t="shared" si="35"/>
        <v>116116503.01638639</v>
      </c>
      <c r="S124" s="102">
        <f t="shared" si="35"/>
        <v>138033135.88471174</v>
      </c>
      <c r="T124" s="102">
        <f t="shared" si="35"/>
        <v>160615060.01057804</v>
      </c>
      <c r="U124" s="102">
        <f t="shared" si="35"/>
        <v>183917066.97615618</v>
      </c>
      <c r="V124" s="102">
        <f t="shared" si="35"/>
        <v>207995611.59176069</v>
      </c>
      <c r="W124" s="102">
        <f t="shared" si="35"/>
        <v>232908948.87480569</v>
      </c>
      <c r="X124" s="102">
        <f t="shared" si="35"/>
        <v>258717275.18682992</v>
      </c>
      <c r="Y124" s="102">
        <f t="shared" si="35"/>
        <v>285482873.8710413</v>
      </c>
      <c r="Z124" s="102">
        <f t="shared" si="35"/>
        <v>313270265.74321973</v>
      </c>
    </row>
    <row r="125" spans="1:26" ht="15" hidden="1" customHeight="1" outlineLevel="1" x14ac:dyDescent="0.3">
      <c r="A125" s="101" t="s">
        <v>500</v>
      </c>
      <c r="B125" s="102">
        <f>$J$85+B124</f>
        <v>1400000000</v>
      </c>
      <c r="C125" s="102">
        <f t="shared" ref="C125:Z125" si="36">B125+C124</f>
        <v>1233564385.28</v>
      </c>
      <c r="D125" s="102">
        <f t="shared" si="36"/>
        <v>1084893155.8399999</v>
      </c>
      <c r="E125" s="102">
        <f t="shared" si="36"/>
        <v>953945222.64319992</v>
      </c>
      <c r="F125" s="102">
        <f t="shared" si="36"/>
        <v>840723907.61599994</v>
      </c>
      <c r="G125" s="102">
        <f t="shared" si="36"/>
        <v>745276840.92540789</v>
      </c>
      <c r="H125" s="102">
        <f t="shared" si="36"/>
        <v>667695969.28385592</v>
      </c>
      <c r="I125" s="102">
        <f t="shared" si="36"/>
        <v>608117675.02461743</v>
      </c>
      <c r="J125" s="102">
        <f t="shared" si="36"/>
        <v>566723005.96858859</v>
      </c>
      <c r="K125" s="102">
        <f t="shared" si="36"/>
        <v>543738016.38012123</v>
      </c>
      <c r="L125" s="102">
        <f t="shared" si="36"/>
        <v>539434219.58657539</v>
      </c>
      <c r="M125" s="102">
        <f t="shared" si="36"/>
        <v>554129153.11397982</v>
      </c>
      <c r="N125" s="102">
        <f t="shared" si="36"/>
        <v>588187057.47035074</v>
      </c>
      <c r="O125" s="102">
        <f t="shared" si="36"/>
        <v>642019669.9895066</v>
      </c>
      <c r="P125" s="102">
        <f t="shared" si="36"/>
        <v>716087135.43233848</v>
      </c>
      <c r="Q125" s="102">
        <f t="shared" si="36"/>
        <v>810899035.33014405</v>
      </c>
      <c r="R125" s="102">
        <f t="shared" si="36"/>
        <v>927015538.34653044</v>
      </c>
      <c r="S125" s="102">
        <f t="shared" si="36"/>
        <v>1065048674.2312422</v>
      </c>
      <c r="T125" s="102">
        <f t="shared" si="36"/>
        <v>1225663734.2418203</v>
      </c>
      <c r="U125" s="102">
        <f t="shared" si="36"/>
        <v>1409580801.2179766</v>
      </c>
      <c r="V125" s="102">
        <f t="shared" si="36"/>
        <v>1617576412.8097372</v>
      </c>
      <c r="W125" s="102">
        <f t="shared" si="36"/>
        <v>1850485361.6845429</v>
      </c>
      <c r="X125" s="102">
        <f t="shared" si="36"/>
        <v>2109202636.8713727</v>
      </c>
      <c r="Y125" s="102">
        <f t="shared" si="36"/>
        <v>2394685510.742414</v>
      </c>
      <c r="Z125" s="102">
        <f t="shared" si="36"/>
        <v>2707955776.4856339</v>
      </c>
    </row>
    <row r="126" spans="1:26" ht="15" hidden="1" customHeight="1" outlineLevel="1" x14ac:dyDescent="0.3">
      <c r="A126" s="101" t="s">
        <v>501</v>
      </c>
      <c r="B126" s="102">
        <f>B124</f>
        <v>-600000000</v>
      </c>
      <c r="C126" s="102">
        <f t="shared" ref="C126:Z126" si="37">B126+C124</f>
        <v>-766435614.72000003</v>
      </c>
      <c r="D126" s="102">
        <f t="shared" si="37"/>
        <v>-915106844.16000009</v>
      </c>
      <c r="E126" s="102">
        <f t="shared" si="37"/>
        <v>-1046054777.3568001</v>
      </c>
      <c r="F126" s="102">
        <f t="shared" si="37"/>
        <v>-1159276092.3840001</v>
      </c>
      <c r="G126" s="102">
        <f t="shared" si="37"/>
        <v>-1254723159.0745921</v>
      </c>
      <c r="H126" s="102">
        <f t="shared" si="37"/>
        <v>-1332304030.7161441</v>
      </c>
      <c r="I126" s="102">
        <f t="shared" si="37"/>
        <v>-1391882324.9753826</v>
      </c>
      <c r="J126" s="102">
        <f t="shared" si="37"/>
        <v>-1433276994.0314114</v>
      </c>
      <c r="K126" s="102">
        <f t="shared" si="37"/>
        <v>-1456261983.6198788</v>
      </c>
      <c r="L126" s="102">
        <f t="shared" si="37"/>
        <v>-1460565780.4134245</v>
      </c>
      <c r="M126" s="102">
        <f t="shared" si="37"/>
        <v>-1445870846.8860199</v>
      </c>
      <c r="N126" s="102">
        <f t="shared" si="37"/>
        <v>-1411812942.529649</v>
      </c>
      <c r="O126" s="102">
        <f t="shared" si="37"/>
        <v>-1357980330.010493</v>
      </c>
      <c r="P126" s="102">
        <f t="shared" si="37"/>
        <v>-1283912864.5676613</v>
      </c>
      <c r="Q126" s="102">
        <f t="shared" si="37"/>
        <v>-1189100964.6698556</v>
      </c>
      <c r="R126" s="102">
        <f t="shared" si="37"/>
        <v>-1072984461.6534692</v>
      </c>
      <c r="S126" s="102">
        <f t="shared" si="37"/>
        <v>-934951325.76875746</v>
      </c>
      <c r="T126" s="102">
        <f t="shared" si="37"/>
        <v>-774336265.75817943</v>
      </c>
      <c r="U126" s="102">
        <f t="shared" si="37"/>
        <v>-590419198.78202319</v>
      </c>
      <c r="V126" s="102">
        <f t="shared" si="37"/>
        <v>-382423587.1902625</v>
      </c>
      <c r="W126" s="102">
        <f t="shared" si="37"/>
        <v>-149514638.31545681</v>
      </c>
      <c r="X126" s="102">
        <f t="shared" si="37"/>
        <v>109202636.87137312</v>
      </c>
      <c r="Y126" s="102">
        <f t="shared" si="37"/>
        <v>394685510.74241441</v>
      </c>
      <c r="Z126" s="102">
        <f t="shared" si="37"/>
        <v>707955776.48563409</v>
      </c>
    </row>
    <row r="127" spans="1:26" ht="15" hidden="1" customHeight="1" outlineLevel="1" x14ac:dyDescent="0.3"/>
    <row r="128" spans="1:26" ht="15" hidden="1" customHeight="1" outlineLevel="1" x14ac:dyDescent="0.3">
      <c r="A128" s="101" t="s">
        <v>502</v>
      </c>
      <c r="C128" s="103">
        <f>$D$86*(1+$E$86)^0</f>
        <v>30</v>
      </c>
      <c r="D128" s="103">
        <f>$D$86*(1+$E$86)^1</f>
        <v>31.200000000000003</v>
      </c>
      <c r="E128" s="103">
        <f>$D$86*(1+$E$86)^2</f>
        <v>32.448</v>
      </c>
      <c r="F128" s="103">
        <f>$D$86*(1+$E$86)^3</f>
        <v>33.745920000000005</v>
      </c>
      <c r="G128" s="103">
        <f>$D$86*(1+$E$86)^4</f>
        <v>35.095756800000004</v>
      </c>
      <c r="H128" s="103">
        <f>$D$86*(1+$E$86)^5</f>
        <v>36.499587072000011</v>
      </c>
      <c r="I128" s="103">
        <f>$D$86*(1+$E$86)^6</f>
        <v>37.95957055488001</v>
      </c>
      <c r="J128" s="103">
        <f>$D$86*(1+$E$86)^7</f>
        <v>39.47795337707521</v>
      </c>
      <c r="K128" s="103">
        <f>$D$86*(1+$E$86)^8</f>
        <v>41.057071512158224</v>
      </c>
      <c r="L128" s="103">
        <f>$D$86*(1+$E$86)^9</f>
        <v>42.699354372644557</v>
      </c>
      <c r="M128" s="103">
        <f>$D$86*(1+$E$86)^10</f>
        <v>44.407328547550335</v>
      </c>
      <c r="N128" s="103">
        <f>$D$86*(1+$E$86)^11</f>
        <v>46.183621689452345</v>
      </c>
      <c r="O128" s="103">
        <f>$D$86*(1+$E$86)^12</f>
        <v>48.030966557030453</v>
      </c>
      <c r="P128" s="103">
        <f>$D$86*(1+$E$86)^13</f>
        <v>49.952205219311672</v>
      </c>
      <c r="Q128" s="103">
        <f>$D$86*(1+$E$86)^14</f>
        <v>51.950293428084137</v>
      </c>
      <c r="R128" s="103">
        <f>$D$86*(1+$E$86)^15</f>
        <v>54.028305165207499</v>
      </c>
      <c r="S128" s="103">
        <f>$D$86*(1+$E$86)^16</f>
        <v>56.189437371815814</v>
      </c>
      <c r="T128" s="103">
        <f>$D$86*(1+$E$86)^17</f>
        <v>58.437014866688443</v>
      </c>
      <c r="U128" s="103">
        <f>$D$86*(1+$E$86)^18</f>
        <v>60.77449546135599</v>
      </c>
      <c r="V128" s="103">
        <f>$D$86*(1+$E$86)^19</f>
        <v>63.20547527981023</v>
      </c>
      <c r="W128" s="103">
        <f>$D$86*(1+$E$86)^20</f>
        <v>65.733694291002635</v>
      </c>
      <c r="X128" s="103">
        <f>$D$86*(1+$E$86)^21</f>
        <v>68.363042062642762</v>
      </c>
      <c r="Y128" s="103">
        <f>$D$86*(1+$E$86)^22</f>
        <v>71.097563745148463</v>
      </c>
      <c r="Z128" s="103">
        <f>$D$86*(1+$E$86)^23</f>
        <v>73.941466294954395</v>
      </c>
    </row>
    <row r="129" spans="1:26" ht="15" hidden="1" customHeight="1" outlineLevel="1" x14ac:dyDescent="0.3">
      <c r="A129" s="101" t="s">
        <v>503</v>
      </c>
      <c r="B129" s="101">
        <v>0</v>
      </c>
      <c r="C129" s="103">
        <f t="shared" ref="C129:Z129" si="38">B129*(1-$F$86)+C128</f>
        <v>30</v>
      </c>
      <c r="D129" s="103">
        <f t="shared" si="38"/>
        <v>59.7</v>
      </c>
      <c r="E129" s="103">
        <f t="shared" si="38"/>
        <v>89.163000000000011</v>
      </c>
      <c r="F129" s="103">
        <f t="shared" si="38"/>
        <v>118.45077000000001</v>
      </c>
      <c r="G129" s="103">
        <f t="shared" si="38"/>
        <v>147.62398830000001</v>
      </c>
      <c r="H129" s="103">
        <f t="shared" si="38"/>
        <v>176.74237595700004</v>
      </c>
      <c r="I129" s="103">
        <f t="shared" si="38"/>
        <v>205.86482771403004</v>
      </c>
      <c r="J129" s="103">
        <f t="shared" si="38"/>
        <v>235.04953970540373</v>
      </c>
      <c r="K129" s="103">
        <f t="shared" si="38"/>
        <v>264.35413423229176</v>
      </c>
      <c r="L129" s="103">
        <f t="shared" si="38"/>
        <v>293.83578189332172</v>
      </c>
      <c r="M129" s="103">
        <f t="shared" si="38"/>
        <v>323.55132134620595</v>
      </c>
      <c r="N129" s="103">
        <f t="shared" si="38"/>
        <v>353.55737696834802</v>
      </c>
      <c r="O129" s="103">
        <f t="shared" si="38"/>
        <v>383.91047467696109</v>
      </c>
      <c r="P129" s="103">
        <f t="shared" si="38"/>
        <v>414.6671561624247</v>
      </c>
      <c r="Q129" s="103">
        <f t="shared" si="38"/>
        <v>445.8840917823876</v>
      </c>
      <c r="R129" s="103">
        <f t="shared" si="38"/>
        <v>477.61819235847571</v>
      </c>
      <c r="S129" s="103">
        <f t="shared" si="38"/>
        <v>509.92672011236772</v>
      </c>
      <c r="T129" s="103">
        <f t="shared" si="38"/>
        <v>542.86739897343773</v>
      </c>
      <c r="U129" s="103">
        <f t="shared" si="38"/>
        <v>576.49852448612182</v>
      </c>
      <c r="V129" s="103">
        <f t="shared" si="38"/>
        <v>610.87907354162598</v>
      </c>
      <c r="W129" s="103">
        <f t="shared" si="38"/>
        <v>646.06881415554733</v>
      </c>
      <c r="X129" s="103">
        <f t="shared" si="38"/>
        <v>682.12841551041265</v>
      </c>
      <c r="Y129" s="103">
        <f t="shared" si="38"/>
        <v>719.1195584800405</v>
      </c>
      <c r="Z129" s="103">
        <f t="shared" si="38"/>
        <v>757.10504685099284</v>
      </c>
    </row>
    <row r="130" spans="1:26" ht="15" hidden="1" customHeight="1" outlineLevel="1" x14ac:dyDescent="0.3">
      <c r="A130" s="101" t="s">
        <v>504</v>
      </c>
      <c r="B130" s="102">
        <f>-$I$86</f>
        <v>-600000000</v>
      </c>
      <c r="C130" s="102">
        <f t="shared" ref="C130:Z130" si="39">C129*($B$86-$C$86)-C128*$G$86-$H$86</f>
        <v>-170544518.40000001</v>
      </c>
      <c r="D130" s="102">
        <f t="shared" si="39"/>
        <v>-148133591.616</v>
      </c>
      <c r="E130" s="102">
        <f t="shared" si="39"/>
        <v>-125987863.13664</v>
      </c>
      <c r="F130" s="102">
        <f t="shared" si="39"/>
        <v>-104059859.12530559</v>
      </c>
      <c r="G130" s="102">
        <f t="shared" si="39"/>
        <v>-82303110.880357832</v>
      </c>
      <c r="H130" s="102">
        <f t="shared" si="39"/>
        <v>-60672049.836110115</v>
      </c>
      <c r="I130" s="102">
        <f t="shared" si="39"/>
        <v>-39121905.624065608</v>
      </c>
      <c r="J130" s="102">
        <f t="shared" si="39"/>
        <v>-17608606.953813821</v>
      </c>
      <c r="K130" s="102">
        <f t="shared" si="39"/>
        <v>3911314.91848737</v>
      </c>
      <c r="L130" s="102">
        <f t="shared" si="39"/>
        <v>25480820.358157903</v>
      </c>
      <c r="M130" s="102">
        <f t="shared" si="39"/>
        <v>47142453.373268723</v>
      </c>
      <c r="N130" s="102">
        <f t="shared" si="39"/>
        <v>68938431.698944807</v>
      </c>
      <c r="O130" s="102">
        <f t="shared" si="39"/>
        <v>90910735.148110569</v>
      </c>
      <c r="P130" s="102">
        <f t="shared" si="39"/>
        <v>113101192.42618263</v>
      </c>
      <c r="Q130" s="102">
        <f t="shared" si="39"/>
        <v>135551566.60177016</v>
      </c>
      <c r="R130" s="102">
        <f t="shared" si="39"/>
        <v>158303639.42045414</v>
      </c>
      <c r="S130" s="102">
        <f t="shared" si="39"/>
        <v>181399294.64415491</v>
      </c>
      <c r="T130" s="102">
        <f t="shared" si="39"/>
        <v>204880600.59445947</v>
      </c>
      <c r="U130" s="102">
        <f t="shared" si="39"/>
        <v>228789892.07454938</v>
      </c>
      <c r="V130" s="102">
        <f t="shared" si="39"/>
        <v>253169851.84102732</v>
      </c>
      <c r="W130" s="102">
        <f t="shared" si="39"/>
        <v>278063591.7939896</v>
      </c>
      <c r="X130" s="102">
        <f t="shared" si="39"/>
        <v>303514734.05110425</v>
      </c>
      <c r="Y130" s="102">
        <f t="shared" si="39"/>
        <v>329567492.06923574</v>
      </c>
      <c r="Z130" s="102">
        <f t="shared" si="39"/>
        <v>356266751.97528815</v>
      </c>
    </row>
    <row r="131" spans="1:26" ht="15" hidden="1" customHeight="1" outlineLevel="1" x14ac:dyDescent="0.3">
      <c r="A131" s="101" t="s">
        <v>505</v>
      </c>
      <c r="B131" s="102">
        <f>$J$86+B130</f>
        <v>1400000000</v>
      </c>
      <c r="C131" s="102">
        <f t="shared" ref="C131:Z131" si="40">B131+C130</f>
        <v>1229455481.5999999</v>
      </c>
      <c r="D131" s="102">
        <f t="shared" si="40"/>
        <v>1081321889.984</v>
      </c>
      <c r="E131" s="102">
        <f t="shared" si="40"/>
        <v>955334026.84736001</v>
      </c>
      <c r="F131" s="102">
        <f t="shared" si="40"/>
        <v>851274167.72205448</v>
      </c>
      <c r="G131" s="102">
        <f t="shared" si="40"/>
        <v>768971056.84169662</v>
      </c>
      <c r="H131" s="102">
        <f t="shared" si="40"/>
        <v>708299007.0055865</v>
      </c>
      <c r="I131" s="102">
        <f t="shared" si="40"/>
        <v>669177101.38152087</v>
      </c>
      <c r="J131" s="102">
        <f t="shared" si="40"/>
        <v>651568494.42770708</v>
      </c>
      <c r="K131" s="102">
        <f t="shared" si="40"/>
        <v>655479809.34619451</v>
      </c>
      <c r="L131" s="102">
        <f t="shared" si="40"/>
        <v>680960629.70435238</v>
      </c>
      <c r="M131" s="102">
        <f t="shared" si="40"/>
        <v>728103083.0776211</v>
      </c>
      <c r="N131" s="102">
        <f t="shared" si="40"/>
        <v>797041514.77656591</v>
      </c>
      <c r="O131" s="102">
        <f t="shared" si="40"/>
        <v>887952249.92467642</v>
      </c>
      <c r="P131" s="102">
        <f t="shared" si="40"/>
        <v>1001053442.350859</v>
      </c>
      <c r="Q131" s="102">
        <f t="shared" si="40"/>
        <v>1136605008.9526291</v>
      </c>
      <c r="R131" s="102">
        <f t="shared" si="40"/>
        <v>1294908648.3730831</v>
      </c>
      <c r="S131" s="102">
        <f t="shared" si="40"/>
        <v>1476307943.0172381</v>
      </c>
      <c r="T131" s="102">
        <f t="shared" si="40"/>
        <v>1681188543.6116977</v>
      </c>
      <c r="U131" s="102">
        <f t="shared" si="40"/>
        <v>1909978435.6862471</v>
      </c>
      <c r="V131" s="102">
        <f t="shared" si="40"/>
        <v>2163148287.5272746</v>
      </c>
      <c r="W131" s="102">
        <f t="shared" si="40"/>
        <v>2441211879.3212643</v>
      </c>
      <c r="X131" s="102">
        <f t="shared" si="40"/>
        <v>2744726613.3723683</v>
      </c>
      <c r="Y131" s="102">
        <f t="shared" si="40"/>
        <v>3074294105.4416041</v>
      </c>
      <c r="Z131" s="102">
        <f t="shared" si="40"/>
        <v>3430560857.4168921</v>
      </c>
    </row>
    <row r="132" spans="1:26" ht="15" hidden="1" customHeight="1" outlineLevel="1" x14ac:dyDescent="0.3">
      <c r="A132" s="101" t="s">
        <v>506</v>
      </c>
      <c r="B132" s="102">
        <f>B130</f>
        <v>-600000000</v>
      </c>
      <c r="C132" s="102">
        <f t="shared" ref="C132:Z132" si="41">B132+C130</f>
        <v>-770544518.39999998</v>
      </c>
      <c r="D132" s="102">
        <f t="shared" si="41"/>
        <v>-918678110.01600003</v>
      </c>
      <c r="E132" s="102">
        <f t="shared" si="41"/>
        <v>-1044665973.15264</v>
      </c>
      <c r="F132" s="102">
        <f t="shared" si="41"/>
        <v>-1148725832.2779455</v>
      </c>
      <c r="G132" s="102">
        <f t="shared" si="41"/>
        <v>-1231028943.1583033</v>
      </c>
      <c r="H132" s="102">
        <f t="shared" si="41"/>
        <v>-1291700992.9944134</v>
      </c>
      <c r="I132" s="102">
        <f t="shared" si="41"/>
        <v>-1330822898.618479</v>
      </c>
      <c r="J132" s="102">
        <f t="shared" si="41"/>
        <v>-1348431505.5722928</v>
      </c>
      <c r="K132" s="102">
        <f t="shared" si="41"/>
        <v>-1344520190.6538055</v>
      </c>
      <c r="L132" s="102">
        <f t="shared" si="41"/>
        <v>-1319039370.2956476</v>
      </c>
      <c r="M132" s="102">
        <f t="shared" si="41"/>
        <v>-1271896916.922379</v>
      </c>
      <c r="N132" s="102">
        <f t="shared" si="41"/>
        <v>-1202958485.2234342</v>
      </c>
      <c r="O132" s="102">
        <f t="shared" si="41"/>
        <v>-1112047750.0753236</v>
      </c>
      <c r="P132" s="102">
        <f t="shared" si="41"/>
        <v>-998946557.64914095</v>
      </c>
      <c r="Q132" s="102">
        <f t="shared" si="41"/>
        <v>-863394991.04737079</v>
      </c>
      <c r="R132" s="102">
        <f t="shared" si="41"/>
        <v>-705091351.62691665</v>
      </c>
      <c r="S132" s="102">
        <f t="shared" si="41"/>
        <v>-523692056.98276174</v>
      </c>
      <c r="T132" s="102">
        <f t="shared" si="41"/>
        <v>-318811456.38830227</v>
      </c>
      <c r="U132" s="102">
        <f t="shared" si="41"/>
        <v>-90021564.31375289</v>
      </c>
      <c r="V132" s="102">
        <f t="shared" si="41"/>
        <v>163148287.52727443</v>
      </c>
      <c r="W132" s="102">
        <f t="shared" si="41"/>
        <v>441211879.32126403</v>
      </c>
      <c r="X132" s="102">
        <f t="shared" si="41"/>
        <v>744726613.37236834</v>
      </c>
      <c r="Y132" s="102">
        <f t="shared" si="41"/>
        <v>1074294105.4416041</v>
      </c>
      <c r="Z132" s="102">
        <f t="shared" si="41"/>
        <v>1430560857.4168923</v>
      </c>
    </row>
    <row r="133" spans="1:26" ht="15" hidden="1" customHeight="1" outlineLevel="1" x14ac:dyDescent="0.3"/>
    <row r="134" spans="1:26" ht="15" hidden="1" customHeight="1" outlineLevel="1" x14ac:dyDescent="0.3">
      <c r="A134" s="101" t="s">
        <v>507</v>
      </c>
      <c r="C134" s="103">
        <f>$D$87*(1+$E$87)^0</f>
        <v>30</v>
      </c>
      <c r="D134" s="103">
        <f>$D$87*(1+$E$87)^1</f>
        <v>31.5</v>
      </c>
      <c r="E134" s="103">
        <f>$D$87*(1+$E$87)^2</f>
        <v>33.075000000000003</v>
      </c>
      <c r="F134" s="103">
        <f>$D$87*(1+$E$87)^3</f>
        <v>34.728750000000005</v>
      </c>
      <c r="G134" s="103">
        <f>$D$87*(1+$E$87)^4</f>
        <v>36.465187499999999</v>
      </c>
      <c r="H134" s="103">
        <f>$D$87*(1+$E$87)^5</f>
        <v>38.288446875000005</v>
      </c>
      <c r="I134" s="103">
        <f>$D$87*(1+$E$87)^6</f>
        <v>40.202869218749996</v>
      </c>
      <c r="J134" s="103">
        <f>$D$87*(1+$E$87)^7</f>
        <v>42.213012679687509</v>
      </c>
      <c r="K134" s="103">
        <f>$D$87*(1+$E$87)^8</f>
        <v>44.323663313671879</v>
      </c>
      <c r="L134" s="103">
        <f>$D$87*(1+$E$87)^9</f>
        <v>46.539846479355475</v>
      </c>
      <c r="M134" s="103">
        <f>$D$87*(1+$E$87)^10</f>
        <v>48.866838803323247</v>
      </c>
      <c r="N134" s="103">
        <f>$D$87*(1+$E$87)^11</f>
        <v>51.310180743489411</v>
      </c>
      <c r="O134" s="103">
        <f>$D$87*(1+$E$87)^12</f>
        <v>53.875689780663876</v>
      </c>
      <c r="P134" s="103">
        <f>$D$87*(1+$E$87)^13</f>
        <v>56.569474269697082</v>
      </c>
      <c r="Q134" s="103">
        <f>$D$87*(1+$E$87)^14</f>
        <v>59.397947983181922</v>
      </c>
      <c r="R134" s="103">
        <f>$D$87*(1+$E$87)^15</f>
        <v>62.367845382341038</v>
      </c>
      <c r="S134" s="103">
        <f>$D$87*(1+$E$87)^16</f>
        <v>65.486237651458083</v>
      </c>
      <c r="T134" s="103">
        <f>$D$87*(1+$E$87)^17</f>
        <v>68.760549534031</v>
      </c>
      <c r="U134" s="103">
        <f>$D$87*(1+$E$87)^18</f>
        <v>72.198577010732549</v>
      </c>
      <c r="V134" s="103">
        <f>$D$87*(1+$E$87)^19</f>
        <v>75.808505861269168</v>
      </c>
      <c r="W134" s="103">
        <f>$D$87*(1+$E$87)^20</f>
        <v>79.598931154332632</v>
      </c>
      <c r="X134" s="103">
        <f>$D$87*(1+$E$87)^21</f>
        <v>83.578877712049263</v>
      </c>
      <c r="Y134" s="103">
        <f>$D$87*(1+$E$87)^22</f>
        <v>87.757821597651713</v>
      </c>
      <c r="Z134" s="103">
        <f>$D$87*(1+$E$87)^23</f>
        <v>92.14571267753432</v>
      </c>
    </row>
    <row r="135" spans="1:26" ht="15" hidden="1" customHeight="1" outlineLevel="1" x14ac:dyDescent="0.3">
      <c r="A135" s="101" t="s">
        <v>508</v>
      </c>
      <c r="B135" s="101">
        <v>0</v>
      </c>
      <c r="C135" s="103">
        <f t="shared" ref="C135:Z135" si="42">B135*(1-$F$87)+C134</f>
        <v>30</v>
      </c>
      <c r="D135" s="103">
        <f t="shared" si="42"/>
        <v>60</v>
      </c>
      <c r="E135" s="103">
        <f t="shared" si="42"/>
        <v>90.075000000000003</v>
      </c>
      <c r="F135" s="103">
        <f t="shared" si="42"/>
        <v>120.3</v>
      </c>
      <c r="G135" s="103">
        <f t="shared" si="42"/>
        <v>150.75018749999998</v>
      </c>
      <c r="H135" s="103">
        <f t="shared" si="42"/>
        <v>181.50112499999997</v>
      </c>
      <c r="I135" s="103">
        <f t="shared" si="42"/>
        <v>212.62893796874994</v>
      </c>
      <c r="J135" s="103">
        <f t="shared" si="42"/>
        <v>244.21050374999993</v>
      </c>
      <c r="K135" s="103">
        <f t="shared" si="42"/>
        <v>276.32364187617179</v>
      </c>
      <c r="L135" s="103">
        <f t="shared" si="42"/>
        <v>309.04730626171863</v>
      </c>
      <c r="M135" s="103">
        <f t="shared" si="42"/>
        <v>342.46177975195599</v>
      </c>
      <c r="N135" s="103">
        <f t="shared" si="42"/>
        <v>376.64887150784756</v>
      </c>
      <c r="O135" s="103">
        <f t="shared" si="42"/>
        <v>411.69211771311905</v>
      </c>
      <c r="P135" s="103">
        <f t="shared" si="42"/>
        <v>447.67698609716018</v>
      </c>
      <c r="Q135" s="103">
        <f t="shared" si="42"/>
        <v>484.69108477548411</v>
      </c>
      <c r="R135" s="103">
        <f t="shared" si="42"/>
        <v>522.82437591905091</v>
      </c>
      <c r="S135" s="103">
        <f t="shared" si="42"/>
        <v>562.16939477455639</v>
      </c>
      <c r="T135" s="103">
        <f t="shared" si="42"/>
        <v>602.82147456985956</v>
      </c>
      <c r="U135" s="103">
        <f t="shared" si="42"/>
        <v>644.87897785209907</v>
      </c>
      <c r="V135" s="103">
        <f t="shared" si="42"/>
        <v>688.44353482076326</v>
      </c>
      <c r="W135" s="103">
        <f t="shared" si="42"/>
        <v>733.62028923405762</v>
      </c>
      <c r="X135" s="103">
        <f t="shared" si="42"/>
        <v>780.51815248440391</v>
      </c>
      <c r="Y135" s="103">
        <f t="shared" si="42"/>
        <v>829.25006645783537</v>
      </c>
      <c r="Z135" s="103">
        <f t="shared" si="42"/>
        <v>879.93327581247786</v>
      </c>
    </row>
    <row r="136" spans="1:26" ht="15" hidden="1" customHeight="1" outlineLevel="1" x14ac:dyDescent="0.3">
      <c r="A136" s="101" t="s">
        <v>509</v>
      </c>
      <c r="B136" s="102">
        <f>-$I$87</f>
        <v>-600000000</v>
      </c>
      <c r="C136" s="102">
        <f t="shared" ref="C136:Z136" si="43">C135*($B$87-$C$87)-C134*$G$87-$H$87</f>
        <v>-200544518.40000001</v>
      </c>
      <c r="D136" s="102">
        <f t="shared" si="43"/>
        <v>-178339036.80000001</v>
      </c>
      <c r="E136" s="102">
        <f t="shared" si="43"/>
        <v>-156184916.49600002</v>
      </c>
      <c r="F136" s="102">
        <f t="shared" si="43"/>
        <v>-134026643.78400001</v>
      </c>
      <c r="G136" s="102">
        <f t="shared" si="43"/>
        <v>-111808833.36324002</v>
      </c>
      <c r="H136" s="102">
        <f t="shared" si="43"/>
        <v>-89476089.551940024</v>
      </c>
      <c r="I136" s="102">
        <f t="shared" si="43"/>
        <v>-66972867.824048162</v>
      </c>
      <c r="J136" s="102">
        <f t="shared" si="43"/>
        <v>-44243336.320036113</v>
      </c>
      <c r="K136" s="102">
        <f t="shared" si="43"/>
        <v>-21231236.985584199</v>
      </c>
      <c r="L136" s="102">
        <f t="shared" si="43"/>
        <v>2120254.0080676079</v>
      </c>
      <c r="M136" s="102">
        <f t="shared" si="43"/>
        <v>25868666.909255534</v>
      </c>
      <c r="N136" s="102">
        <f t="shared" si="43"/>
        <v>50072380.445463538</v>
      </c>
      <c r="O136" s="102">
        <f t="shared" si="43"/>
        <v>74790765.648944736</v>
      </c>
      <c r="P136" s="102">
        <f t="shared" si="43"/>
        <v>100084331.80353957</v>
      </c>
      <c r="Q136" s="102">
        <f t="shared" si="43"/>
        <v>126014874.87225688</v>
      </c>
      <c r="R136" s="102">
        <f t="shared" si="43"/>
        <v>152645628.77048284</v>
      </c>
      <c r="S136" s="102">
        <f t="shared" si="43"/>
        <v>180041419.85588956</v>
      </c>
      <c r="T136" s="102">
        <f t="shared" si="43"/>
        <v>208268825.01322246</v>
      </c>
      <c r="U136" s="102">
        <f t="shared" si="43"/>
        <v>237396333.72019506</v>
      </c>
      <c r="V136" s="102">
        <f t="shared" si="43"/>
        <v>267494514.48970079</v>
      </c>
      <c r="W136" s="102">
        <f t="shared" si="43"/>
        <v>298636186.09350681</v>
      </c>
      <c r="X136" s="102">
        <f t="shared" si="43"/>
        <v>330896593.9835372</v>
      </c>
      <c r="Y136" s="102">
        <f t="shared" si="43"/>
        <v>364353592.33880138</v>
      </c>
      <c r="Z136" s="102">
        <f t="shared" si="43"/>
        <v>399087832.17902434</v>
      </c>
    </row>
    <row r="137" spans="1:26" ht="15" hidden="1" customHeight="1" outlineLevel="1" x14ac:dyDescent="0.3">
      <c r="A137" s="101" t="s">
        <v>510</v>
      </c>
      <c r="B137" s="102">
        <f>$J$87+B136</f>
        <v>1400000000</v>
      </c>
      <c r="C137" s="102">
        <f t="shared" ref="C137:Z137" si="44">B137+C136</f>
        <v>1199455481.5999999</v>
      </c>
      <c r="D137" s="102">
        <f t="shared" si="44"/>
        <v>1021116444.8</v>
      </c>
      <c r="E137" s="102">
        <f t="shared" si="44"/>
        <v>864931528.3039999</v>
      </c>
      <c r="F137" s="102">
        <f t="shared" si="44"/>
        <v>730904884.51999986</v>
      </c>
      <c r="G137" s="102">
        <f t="shared" si="44"/>
        <v>619096051.15675986</v>
      </c>
      <c r="H137" s="102">
        <f t="shared" si="44"/>
        <v>529619961.60481983</v>
      </c>
      <c r="I137" s="102">
        <f t="shared" si="44"/>
        <v>462647093.78077167</v>
      </c>
      <c r="J137" s="102">
        <f t="shared" si="44"/>
        <v>418403757.46073556</v>
      </c>
      <c r="K137" s="102">
        <f t="shared" si="44"/>
        <v>397172520.47515136</v>
      </c>
      <c r="L137" s="102">
        <f t="shared" si="44"/>
        <v>399292774.48321897</v>
      </c>
      <c r="M137" s="102">
        <f t="shared" si="44"/>
        <v>425161441.39247453</v>
      </c>
      <c r="N137" s="102">
        <f t="shared" si="44"/>
        <v>475233821.83793807</v>
      </c>
      <c r="O137" s="102">
        <f t="shared" si="44"/>
        <v>550024587.48688281</v>
      </c>
      <c r="P137" s="102">
        <f t="shared" si="44"/>
        <v>650108919.29042244</v>
      </c>
      <c r="Q137" s="102">
        <f t="shared" si="44"/>
        <v>776123794.16267931</v>
      </c>
      <c r="R137" s="102">
        <f t="shared" si="44"/>
        <v>928769422.93316221</v>
      </c>
      <c r="S137" s="102">
        <f t="shared" si="44"/>
        <v>1108810842.7890518</v>
      </c>
      <c r="T137" s="102">
        <f t="shared" si="44"/>
        <v>1317079667.8022742</v>
      </c>
      <c r="U137" s="102">
        <f t="shared" si="44"/>
        <v>1554476001.5224693</v>
      </c>
      <c r="V137" s="102">
        <f t="shared" si="44"/>
        <v>1821970516.0121701</v>
      </c>
      <c r="W137" s="102">
        <f t="shared" si="44"/>
        <v>2120606702.1056769</v>
      </c>
      <c r="X137" s="102">
        <f t="shared" si="44"/>
        <v>2451503296.0892143</v>
      </c>
      <c r="Y137" s="102">
        <f t="shared" si="44"/>
        <v>2815856888.4280157</v>
      </c>
      <c r="Z137" s="102">
        <f t="shared" si="44"/>
        <v>3214944720.6070399</v>
      </c>
    </row>
    <row r="138" spans="1:26" ht="15" hidden="1" customHeight="1" outlineLevel="1" x14ac:dyDescent="0.3">
      <c r="A138" s="101" t="s">
        <v>511</v>
      </c>
      <c r="B138" s="102">
        <f>B136</f>
        <v>-600000000</v>
      </c>
      <c r="C138" s="102">
        <f t="shared" ref="C138:Z138" si="45">B138+C136</f>
        <v>-800544518.39999998</v>
      </c>
      <c r="D138" s="102">
        <f t="shared" si="45"/>
        <v>-978883555.20000005</v>
      </c>
      <c r="E138" s="102">
        <f t="shared" si="45"/>
        <v>-1135068471.6960001</v>
      </c>
      <c r="F138" s="102">
        <f t="shared" si="45"/>
        <v>-1269095115.48</v>
      </c>
      <c r="G138" s="102">
        <f t="shared" si="45"/>
        <v>-1380903948.84324</v>
      </c>
      <c r="H138" s="102">
        <f t="shared" si="45"/>
        <v>-1470380038.39518</v>
      </c>
      <c r="I138" s="102">
        <f t="shared" si="45"/>
        <v>-1537352906.2192283</v>
      </c>
      <c r="J138" s="102">
        <f t="shared" si="45"/>
        <v>-1581596242.5392644</v>
      </c>
      <c r="K138" s="102">
        <f t="shared" si="45"/>
        <v>-1602827479.5248487</v>
      </c>
      <c r="L138" s="102">
        <f t="shared" si="45"/>
        <v>-1600707225.5167811</v>
      </c>
      <c r="M138" s="102">
        <f t="shared" si="45"/>
        <v>-1574838558.6075256</v>
      </c>
      <c r="N138" s="102">
        <f t="shared" si="45"/>
        <v>-1524766178.1620622</v>
      </c>
      <c r="O138" s="102">
        <f t="shared" si="45"/>
        <v>-1449975412.5131173</v>
      </c>
      <c r="P138" s="102">
        <f t="shared" si="45"/>
        <v>-1349891080.7095778</v>
      </c>
      <c r="Q138" s="102">
        <f t="shared" si="45"/>
        <v>-1223876205.8373208</v>
      </c>
      <c r="R138" s="102">
        <f t="shared" si="45"/>
        <v>-1071230577.066838</v>
      </c>
      <c r="S138" s="102">
        <f t="shared" si="45"/>
        <v>-891189157.21094847</v>
      </c>
      <c r="T138" s="102">
        <f t="shared" si="45"/>
        <v>-682920332.19772601</v>
      </c>
      <c r="U138" s="102">
        <f t="shared" si="45"/>
        <v>-445523998.47753096</v>
      </c>
      <c r="V138" s="102">
        <f t="shared" si="45"/>
        <v>-178029483.98783016</v>
      </c>
      <c r="W138" s="102">
        <f t="shared" si="45"/>
        <v>120606702.10567665</v>
      </c>
      <c r="X138" s="102">
        <f t="shared" si="45"/>
        <v>451503296.08921385</v>
      </c>
      <c r="Y138" s="102">
        <f t="shared" si="45"/>
        <v>815856888.42801523</v>
      </c>
      <c r="Z138" s="102">
        <f t="shared" si="45"/>
        <v>1214944720.6070395</v>
      </c>
    </row>
    <row r="139" spans="1:26" ht="15" hidden="1" customHeight="1" outlineLevel="1" x14ac:dyDescent="0.3"/>
    <row r="140" spans="1:26" ht="15" hidden="1" customHeight="1" outlineLevel="1" x14ac:dyDescent="0.3">
      <c r="A140" s="101" t="s">
        <v>512</v>
      </c>
      <c r="C140" s="103">
        <f>$D$88*(1+$E$88)^0</f>
        <v>30</v>
      </c>
      <c r="D140" s="103">
        <f>$D$88*(1+$E$88)^1</f>
        <v>31.5</v>
      </c>
      <c r="E140" s="103">
        <f>$D$88*(1+$E$88)^2</f>
        <v>33.075000000000003</v>
      </c>
      <c r="F140" s="103">
        <f>$D$88*(1+$E$88)^3</f>
        <v>34.728750000000005</v>
      </c>
      <c r="G140" s="103">
        <f>$D$88*(1+$E$88)^4</f>
        <v>36.465187499999999</v>
      </c>
      <c r="H140" s="103">
        <f>$D$88*(1+$E$88)^5</f>
        <v>38.288446875000005</v>
      </c>
      <c r="I140" s="103">
        <f>$D$88*(1+$E$88)^6</f>
        <v>40.202869218749996</v>
      </c>
      <c r="J140" s="103">
        <f>$D$88*(1+$E$88)^7</f>
        <v>42.213012679687509</v>
      </c>
      <c r="K140" s="103">
        <f>$D$88*(1+$E$88)^8</f>
        <v>44.323663313671879</v>
      </c>
      <c r="L140" s="103">
        <f>$D$88*(1+$E$88)^9</f>
        <v>46.539846479355475</v>
      </c>
      <c r="M140" s="103">
        <f>$D$88*(1+$E$88)^10</f>
        <v>48.866838803323247</v>
      </c>
      <c r="N140" s="103">
        <f>$D$88*(1+$E$88)^11</f>
        <v>51.310180743489411</v>
      </c>
      <c r="O140" s="103">
        <f>$D$88*(1+$E$88)^12</f>
        <v>53.875689780663876</v>
      </c>
      <c r="P140" s="103">
        <f>$D$88*(1+$E$88)^13</f>
        <v>56.569474269697082</v>
      </c>
      <c r="Q140" s="103">
        <f>$D$88*(1+$E$88)^14</f>
        <v>59.397947983181922</v>
      </c>
      <c r="R140" s="103">
        <f>$D$88*(1+$E$88)^15</f>
        <v>62.367845382341038</v>
      </c>
      <c r="S140" s="103">
        <f>$D$88*(1+$E$88)^16</f>
        <v>65.486237651458083</v>
      </c>
      <c r="T140" s="103">
        <f>$D$88*(1+$E$88)^17</f>
        <v>68.760549534031</v>
      </c>
      <c r="U140" s="103">
        <f>$D$88*(1+$E$88)^18</f>
        <v>72.198577010732549</v>
      </c>
      <c r="V140" s="103">
        <f>$D$88*(1+$E$88)^19</f>
        <v>75.808505861269168</v>
      </c>
      <c r="W140" s="103">
        <f>$D$88*(1+$E$88)^20</f>
        <v>79.598931154332632</v>
      </c>
      <c r="X140" s="103">
        <f>$D$88*(1+$E$88)^21</f>
        <v>83.578877712049263</v>
      </c>
      <c r="Y140" s="103">
        <f>$D$88*(1+$E$88)^22</f>
        <v>87.757821597651713</v>
      </c>
      <c r="Z140" s="103">
        <f>$D$88*(1+$E$88)^23</f>
        <v>92.14571267753432</v>
      </c>
    </row>
    <row r="141" spans="1:26" ht="15" hidden="1" customHeight="1" outlineLevel="1" x14ac:dyDescent="0.3">
      <c r="A141" s="101" t="s">
        <v>513</v>
      </c>
      <c r="B141" s="101">
        <v>0</v>
      </c>
      <c r="C141" s="103">
        <f t="shared" ref="C141:Z141" si="46">B141*(1-$F$88)+C140</f>
        <v>30</v>
      </c>
      <c r="D141" s="103">
        <f t="shared" si="46"/>
        <v>60</v>
      </c>
      <c r="E141" s="103">
        <f t="shared" si="46"/>
        <v>90.075000000000003</v>
      </c>
      <c r="F141" s="103">
        <f t="shared" si="46"/>
        <v>120.3</v>
      </c>
      <c r="G141" s="103">
        <f t="shared" si="46"/>
        <v>150.75018749999998</v>
      </c>
      <c r="H141" s="103">
        <f t="shared" si="46"/>
        <v>181.50112499999997</v>
      </c>
      <c r="I141" s="103">
        <f t="shared" si="46"/>
        <v>212.62893796874994</v>
      </c>
      <c r="J141" s="103">
        <f t="shared" si="46"/>
        <v>244.21050374999993</v>
      </c>
      <c r="K141" s="103">
        <f t="shared" si="46"/>
        <v>276.32364187617179</v>
      </c>
      <c r="L141" s="103">
        <f t="shared" si="46"/>
        <v>309.04730626171863</v>
      </c>
      <c r="M141" s="103">
        <f t="shared" si="46"/>
        <v>342.46177975195599</v>
      </c>
      <c r="N141" s="103">
        <f t="shared" si="46"/>
        <v>376.64887150784756</v>
      </c>
      <c r="O141" s="103">
        <f t="shared" si="46"/>
        <v>411.69211771311905</v>
      </c>
      <c r="P141" s="103">
        <f t="shared" si="46"/>
        <v>447.67698609716018</v>
      </c>
      <c r="Q141" s="103">
        <f t="shared" si="46"/>
        <v>484.69108477548411</v>
      </c>
      <c r="R141" s="103">
        <f t="shared" si="46"/>
        <v>522.82437591905091</v>
      </c>
      <c r="S141" s="103">
        <f t="shared" si="46"/>
        <v>562.16939477455639</v>
      </c>
      <c r="T141" s="103">
        <f t="shared" si="46"/>
        <v>602.82147456985956</v>
      </c>
      <c r="U141" s="103">
        <f t="shared" si="46"/>
        <v>644.87897785209907</v>
      </c>
      <c r="V141" s="103">
        <f t="shared" si="46"/>
        <v>688.44353482076326</v>
      </c>
      <c r="W141" s="103">
        <f t="shared" si="46"/>
        <v>733.62028923405762</v>
      </c>
      <c r="X141" s="103">
        <f t="shared" si="46"/>
        <v>780.51815248440391</v>
      </c>
      <c r="Y141" s="103">
        <f t="shared" si="46"/>
        <v>829.25006645783537</v>
      </c>
      <c r="Z141" s="103">
        <f t="shared" si="46"/>
        <v>879.93327581247786</v>
      </c>
    </row>
    <row r="142" spans="1:26" ht="15" hidden="1" customHeight="1" outlineLevel="1" x14ac:dyDescent="0.3">
      <c r="A142" s="101" t="s">
        <v>514</v>
      </c>
      <c r="B142" s="102">
        <f>-$I$88</f>
        <v>-600000000</v>
      </c>
      <c r="C142" s="102">
        <f t="shared" ref="C142:Z142" si="47">C141*($B$88-$C$88)-C140*$G$88-$H$88</f>
        <v>-183748944</v>
      </c>
      <c r="D142" s="102">
        <f t="shared" si="47"/>
        <v>-174747888</v>
      </c>
      <c r="E142" s="102">
        <f t="shared" si="47"/>
        <v>-165831204.36000001</v>
      </c>
      <c r="F142" s="102">
        <f t="shared" si="47"/>
        <v>-156976390.44</v>
      </c>
      <c r="G142" s="102">
        <f t="shared" si="47"/>
        <v>-148161154.5309</v>
      </c>
      <c r="H142" s="102">
        <f t="shared" si="47"/>
        <v>-139363359.5979</v>
      </c>
      <c r="I142" s="102">
        <f t="shared" si="47"/>
        <v>-130560967.55122727</v>
      </c>
      <c r="J142" s="102">
        <f t="shared" si="47"/>
        <v>-121731983.90354928</v>
      </c>
      <c r="K142" s="102">
        <f t="shared" si="47"/>
        <v>-112854402.67474934</v>
      </c>
      <c r="L142" s="102">
        <f t="shared" si="47"/>
        <v>-103906151.40570831</v>
      </c>
      <c r="M142" s="102">
        <f t="shared" si="47"/>
        <v>-94865036.143354103</v>
      </c>
      <c r="N142" s="102">
        <f t="shared" si="47"/>
        <v>-85708686.259514198</v>
      </c>
      <c r="O142" s="102">
        <f t="shared" si="47"/>
        <v>-76414498.966032669</v>
      </c>
      <c r="P142" s="102">
        <f t="shared" si="47"/>
        <v>-66959583.38819994</v>
      </c>
      <c r="Q142" s="102">
        <f t="shared" si="47"/>
        <v>-57320704.057782248</v>
      </c>
      <c r="R142" s="102">
        <f t="shared" si="47"/>
        <v>-47474223.685835108</v>
      </c>
      <c r="S142" s="102">
        <f t="shared" si="47"/>
        <v>-37396045.074032396</v>
      </c>
      <c r="T142" s="102">
        <f t="shared" si="47"/>
        <v>-27061552.021444306</v>
      </c>
      <c r="U142" s="102">
        <f t="shared" si="47"/>
        <v>-16445549.08154127</v>
      </c>
      <c r="V142" s="102">
        <f t="shared" si="47"/>
        <v>-5522200.0216917992</v>
      </c>
      <c r="W142" s="102">
        <f t="shared" si="47"/>
        <v>5735035.1654536724</v>
      </c>
      <c r="X142" s="102">
        <f t="shared" si="47"/>
        <v>17353464.852545053</v>
      </c>
      <c r="Y142" s="102">
        <f t="shared" si="47"/>
        <v>29361232.127550006</v>
      </c>
      <c r="Z142" s="102">
        <f t="shared" si="47"/>
        <v>41787383.064686328</v>
      </c>
    </row>
    <row r="143" spans="1:26" ht="15" hidden="1" customHeight="1" outlineLevel="1" x14ac:dyDescent="0.3">
      <c r="A143" s="101" t="s">
        <v>515</v>
      </c>
      <c r="B143" s="102">
        <f>$J$88+B142</f>
        <v>1400000000</v>
      </c>
      <c r="C143" s="102">
        <f t="shared" ref="C143:Z143" si="48">B143+C142</f>
        <v>1216251056</v>
      </c>
      <c r="D143" s="102">
        <f t="shared" si="48"/>
        <v>1041503168</v>
      </c>
      <c r="E143" s="102">
        <f t="shared" si="48"/>
        <v>875671963.63999999</v>
      </c>
      <c r="F143" s="102">
        <f t="shared" si="48"/>
        <v>718695573.20000005</v>
      </c>
      <c r="G143" s="102">
        <f t="shared" si="48"/>
        <v>570534418.66910005</v>
      </c>
      <c r="H143" s="102">
        <f t="shared" si="48"/>
        <v>431171059.07120001</v>
      </c>
      <c r="I143" s="102">
        <f t="shared" si="48"/>
        <v>300610091.51997274</v>
      </c>
      <c r="J143" s="102">
        <f t="shared" si="48"/>
        <v>178878107.61642346</v>
      </c>
      <c r="K143" s="102">
        <f t="shared" si="48"/>
        <v>66023704.941674113</v>
      </c>
      <c r="L143" s="102">
        <f t="shared" si="48"/>
        <v>-37882446.4640342</v>
      </c>
      <c r="M143" s="102">
        <f t="shared" si="48"/>
        <v>-132747482.6073883</v>
      </c>
      <c r="N143" s="102">
        <f t="shared" si="48"/>
        <v>-218456168.8669025</v>
      </c>
      <c r="O143" s="102">
        <f t="shared" si="48"/>
        <v>-294870667.83293515</v>
      </c>
      <c r="P143" s="102">
        <f t="shared" si="48"/>
        <v>-361830251.22113508</v>
      </c>
      <c r="Q143" s="102">
        <f t="shared" si="48"/>
        <v>-419150955.27891731</v>
      </c>
      <c r="R143" s="102">
        <f t="shared" si="48"/>
        <v>-466625178.96475244</v>
      </c>
      <c r="S143" s="102">
        <f t="shared" si="48"/>
        <v>-504021224.03878486</v>
      </c>
      <c r="T143" s="102">
        <f t="shared" si="48"/>
        <v>-531082776.06022918</v>
      </c>
      <c r="U143" s="102">
        <f t="shared" si="48"/>
        <v>-547528325.14177048</v>
      </c>
      <c r="V143" s="102">
        <f t="shared" si="48"/>
        <v>-553050525.16346228</v>
      </c>
      <c r="W143" s="102">
        <f t="shared" si="48"/>
        <v>-547315489.99800861</v>
      </c>
      <c r="X143" s="102">
        <f t="shared" si="48"/>
        <v>-529962025.14546359</v>
      </c>
      <c r="Y143" s="102">
        <f t="shared" si="48"/>
        <v>-500600793.01791358</v>
      </c>
      <c r="Z143" s="102">
        <f t="shared" si="48"/>
        <v>-458813409.95322728</v>
      </c>
    </row>
    <row r="144" spans="1:26" ht="15" hidden="1" customHeight="1" outlineLevel="1" x14ac:dyDescent="0.3">
      <c r="A144" s="101" t="s">
        <v>516</v>
      </c>
      <c r="B144" s="102">
        <f>B142</f>
        <v>-600000000</v>
      </c>
      <c r="C144" s="102">
        <f t="shared" ref="C144:Z144" si="49">B144+C142</f>
        <v>-783748944</v>
      </c>
      <c r="D144" s="102">
        <f t="shared" si="49"/>
        <v>-958496832</v>
      </c>
      <c r="E144" s="102">
        <f t="shared" si="49"/>
        <v>-1124328036.3600001</v>
      </c>
      <c r="F144" s="102">
        <f t="shared" si="49"/>
        <v>-1281304426.8000002</v>
      </c>
      <c r="G144" s="102">
        <f t="shared" si="49"/>
        <v>-1429465581.3309002</v>
      </c>
      <c r="H144" s="102">
        <f t="shared" si="49"/>
        <v>-1568828940.9288001</v>
      </c>
      <c r="I144" s="102">
        <f t="shared" si="49"/>
        <v>-1699389908.4800274</v>
      </c>
      <c r="J144" s="102">
        <f t="shared" si="49"/>
        <v>-1821121892.3835766</v>
      </c>
      <c r="K144" s="102">
        <f t="shared" si="49"/>
        <v>-1933976295.058326</v>
      </c>
      <c r="L144" s="102">
        <f t="shared" si="49"/>
        <v>-2037882446.4640343</v>
      </c>
      <c r="M144" s="102">
        <f t="shared" si="49"/>
        <v>-2132747482.6073885</v>
      </c>
      <c r="N144" s="102">
        <f t="shared" si="49"/>
        <v>-2218456168.8669028</v>
      </c>
      <c r="O144" s="102">
        <f t="shared" si="49"/>
        <v>-2294870667.8329353</v>
      </c>
      <c r="P144" s="102">
        <f t="shared" si="49"/>
        <v>-2361830251.2211351</v>
      </c>
      <c r="Q144" s="102">
        <f t="shared" si="49"/>
        <v>-2419150955.2789173</v>
      </c>
      <c r="R144" s="102">
        <f t="shared" si="49"/>
        <v>-2466625178.9647522</v>
      </c>
      <c r="S144" s="102">
        <f t="shared" si="49"/>
        <v>-2504021224.0387845</v>
      </c>
      <c r="T144" s="102">
        <f t="shared" si="49"/>
        <v>-2531082776.0602288</v>
      </c>
      <c r="U144" s="102">
        <f t="shared" si="49"/>
        <v>-2547528325.1417699</v>
      </c>
      <c r="V144" s="102">
        <f t="shared" si="49"/>
        <v>-2553050525.1634617</v>
      </c>
      <c r="W144" s="102">
        <f t="shared" si="49"/>
        <v>-2547315489.9980078</v>
      </c>
      <c r="X144" s="102">
        <f t="shared" si="49"/>
        <v>-2529962025.1454625</v>
      </c>
      <c r="Y144" s="102">
        <f t="shared" si="49"/>
        <v>-2500600793.0179124</v>
      </c>
      <c r="Z144" s="102">
        <f t="shared" si="49"/>
        <v>-2458813409.9532261</v>
      </c>
    </row>
    <row r="145" ht="15" hidden="1" customHeight="1" outlineLevel="1" x14ac:dyDescent="0.3"/>
  </sheetData>
  <sheetProtection sheet="1" formatColumns="0" formatRows="0"/>
  <mergeCells count="7">
    <mergeCell ref="E76:H76"/>
    <mergeCell ref="E77:H77"/>
    <mergeCell ref="E71:H71"/>
    <mergeCell ref="E72:H72"/>
    <mergeCell ref="E73:H73"/>
    <mergeCell ref="E74:H74"/>
    <mergeCell ref="E75:H75"/>
  </mergeCells>
  <conditionalFormatting sqref="A58:H64">
    <cfRule type="expression" dxfId="0" priority="2">
      <formula>$H58=1</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2"/>
  <sheetViews>
    <sheetView zoomScaleNormal="100" workbookViewId="0"/>
  </sheetViews>
  <sheetFormatPr defaultColWidth="8.6640625" defaultRowHeight="14.4" x14ac:dyDescent="0.3"/>
  <cols>
    <col min="1" max="1" width="48" customWidth="1"/>
    <col min="2" max="4" width="18" customWidth="1"/>
    <col min="5" max="5" width="15" customWidth="1"/>
    <col min="6" max="6" width="40" customWidth="1"/>
    <col min="7" max="7" width="52" customWidth="1"/>
  </cols>
  <sheetData>
    <row r="1" spans="1:7" ht="17.25" customHeight="1" x14ac:dyDescent="0.3">
      <c r="A1" s="12" t="s">
        <v>517</v>
      </c>
    </row>
    <row r="2" spans="1:7" ht="15" customHeight="1" x14ac:dyDescent="0.3">
      <c r="A2" s="19" t="s">
        <v>518</v>
      </c>
    </row>
    <row r="3" spans="1:7" ht="15" customHeight="1" x14ac:dyDescent="0.3">
      <c r="A3" s="105" t="s">
        <v>519</v>
      </c>
    </row>
    <row r="4" spans="1:7" ht="15" customHeight="1" x14ac:dyDescent="0.3">
      <c r="A4" s="24" t="s">
        <v>303</v>
      </c>
      <c r="B4" s="24" t="s">
        <v>304</v>
      </c>
      <c r="C4" s="24" t="s">
        <v>305</v>
      </c>
      <c r="D4" s="24" t="s">
        <v>306</v>
      </c>
      <c r="E4" s="24" t="s">
        <v>163</v>
      </c>
      <c r="F4" s="24" t="s">
        <v>164</v>
      </c>
      <c r="G4" s="24" t="s">
        <v>307</v>
      </c>
    </row>
    <row r="5" spans="1:7" ht="15.75" customHeight="1" x14ac:dyDescent="0.3">
      <c r="A5" s="46" t="s">
        <v>520</v>
      </c>
      <c r="B5" s="106">
        <v>30</v>
      </c>
      <c r="C5" s="106">
        <v>30</v>
      </c>
      <c r="D5" s="106">
        <v>30</v>
      </c>
      <c r="E5" s="48" t="s">
        <v>521</v>
      </c>
      <c r="F5" s="77" t="s">
        <v>522</v>
      </c>
      <c r="G5" s="50" t="s">
        <v>523</v>
      </c>
    </row>
    <row r="6" spans="1:7" ht="31.5" customHeight="1" x14ac:dyDescent="0.3">
      <c r="A6" s="72" t="s">
        <v>524</v>
      </c>
      <c r="B6" s="106">
        <v>5</v>
      </c>
      <c r="C6" s="106">
        <v>3</v>
      </c>
      <c r="D6" s="106">
        <v>1.5</v>
      </c>
      <c r="E6" s="48" t="s">
        <v>525</v>
      </c>
      <c r="F6" s="77" t="s">
        <v>526</v>
      </c>
      <c r="G6" s="50" t="s">
        <v>527</v>
      </c>
    </row>
    <row r="7" spans="1:7" ht="30" customHeight="1" x14ac:dyDescent="0.3">
      <c r="A7" s="46" t="s">
        <v>528</v>
      </c>
      <c r="B7" s="52">
        <v>0.8</v>
      </c>
      <c r="C7" s="52">
        <v>0.6</v>
      </c>
      <c r="D7" s="52">
        <v>0.35</v>
      </c>
      <c r="E7" s="48" t="s">
        <v>192</v>
      </c>
      <c r="F7" s="77" t="s">
        <v>529</v>
      </c>
      <c r="G7" s="50" t="s">
        <v>530</v>
      </c>
    </row>
    <row r="8" spans="1:7" ht="15.75" customHeight="1" x14ac:dyDescent="0.3">
      <c r="A8" s="46" t="s">
        <v>531</v>
      </c>
      <c r="B8" s="76">
        <v>120000</v>
      </c>
      <c r="C8" s="76">
        <v>120000</v>
      </c>
      <c r="D8" s="76">
        <v>120000</v>
      </c>
      <c r="E8" s="48" t="s">
        <v>207</v>
      </c>
      <c r="F8" s="77" t="s">
        <v>532</v>
      </c>
      <c r="G8" s="50" t="s">
        <v>533</v>
      </c>
    </row>
    <row r="9" spans="1:7" ht="15.75" customHeight="1" x14ac:dyDescent="0.3">
      <c r="A9" s="46" t="s">
        <v>534</v>
      </c>
      <c r="B9" s="76">
        <v>10000000</v>
      </c>
      <c r="C9" s="76">
        <v>5000000</v>
      </c>
      <c r="D9" s="76">
        <v>0</v>
      </c>
      <c r="E9" s="48" t="s">
        <v>253</v>
      </c>
      <c r="F9" s="77" t="s">
        <v>535</v>
      </c>
      <c r="G9" s="50" t="s">
        <v>536</v>
      </c>
    </row>
    <row r="10" spans="1:7" ht="15.75" customHeight="1" x14ac:dyDescent="0.3">
      <c r="A10" s="46" t="s">
        <v>537</v>
      </c>
      <c r="B10" s="76">
        <v>400000000</v>
      </c>
      <c r="C10" s="76">
        <v>400000000</v>
      </c>
      <c r="D10" s="76">
        <v>500000000</v>
      </c>
      <c r="E10" s="48" t="s">
        <v>538</v>
      </c>
      <c r="F10" s="77" t="s">
        <v>539</v>
      </c>
      <c r="G10" s="50" t="s">
        <v>540</v>
      </c>
    </row>
    <row r="11" spans="1:7" ht="15.75" customHeight="1" x14ac:dyDescent="0.3">
      <c r="A11" s="46" t="s">
        <v>541</v>
      </c>
      <c r="B11" s="76">
        <v>50000000</v>
      </c>
      <c r="C11" s="76">
        <v>60000000</v>
      </c>
      <c r="D11" s="76">
        <v>80000000</v>
      </c>
      <c r="E11" s="48" t="s">
        <v>538</v>
      </c>
      <c r="F11" s="77" t="s">
        <v>542</v>
      </c>
      <c r="G11" s="50" t="s">
        <v>543</v>
      </c>
    </row>
    <row r="12" spans="1:7" ht="15.75" customHeight="1" x14ac:dyDescent="0.3">
      <c r="A12" s="46" t="s">
        <v>544</v>
      </c>
      <c r="B12" s="76">
        <v>15000000</v>
      </c>
      <c r="C12" s="76">
        <v>18000000</v>
      </c>
      <c r="D12" s="76">
        <v>25000000</v>
      </c>
      <c r="E12" s="48" t="s">
        <v>253</v>
      </c>
      <c r="F12" s="77" t="s">
        <v>545</v>
      </c>
      <c r="G12" s="50" t="s">
        <v>546</v>
      </c>
    </row>
    <row r="13" spans="1:7" ht="15" customHeight="1" x14ac:dyDescent="0.3">
      <c r="A13" s="46" t="s">
        <v>338</v>
      </c>
      <c r="B13" s="52">
        <v>0.15</v>
      </c>
      <c r="C13" s="52">
        <v>0.15</v>
      </c>
      <c r="D13" s="52">
        <v>0.15</v>
      </c>
      <c r="E13" s="48" t="s">
        <v>192</v>
      </c>
      <c r="F13" s="77" t="s">
        <v>547</v>
      </c>
      <c r="G13" s="48"/>
    </row>
    <row r="15" spans="1:7" ht="26.25" customHeight="1" x14ac:dyDescent="0.3">
      <c r="A15" s="24" t="s">
        <v>548</v>
      </c>
      <c r="B15" s="24" t="s">
        <v>304</v>
      </c>
      <c r="C15" s="24" t="s">
        <v>305</v>
      </c>
      <c r="D15" s="24" t="s">
        <v>306</v>
      </c>
      <c r="E15" s="24" t="s">
        <v>351</v>
      </c>
    </row>
    <row r="16" spans="1:7" ht="15" customHeight="1" x14ac:dyDescent="0.3">
      <c r="A16" s="53" t="s">
        <v>549</v>
      </c>
      <c r="B16" s="54">
        <f>B5*B6*52/12*B7*B8+B9</f>
        <v>72400000</v>
      </c>
      <c r="C16" s="54">
        <f>C5*C6*52/12*C7*C8+C9</f>
        <v>33080000</v>
      </c>
      <c r="D16" s="54">
        <f>D5*D6*52/12*D7*D8+D9</f>
        <v>8190000</v>
      </c>
    </row>
    <row r="17" spans="1:5" ht="15" customHeight="1" x14ac:dyDescent="0.3">
      <c r="A17" s="53" t="s">
        <v>550</v>
      </c>
      <c r="B17" s="54">
        <f>B16-B12</f>
        <v>57400000</v>
      </c>
      <c r="C17" s="54">
        <f>C16-C12</f>
        <v>15080000</v>
      </c>
      <c r="D17" s="54">
        <f>D16-D12</f>
        <v>-16810000</v>
      </c>
      <c r="E17" t="s">
        <v>403</v>
      </c>
    </row>
    <row r="18" spans="1:5" ht="15" customHeight="1" x14ac:dyDescent="0.3">
      <c r="A18" s="53" t="s">
        <v>551</v>
      </c>
      <c r="B18" s="54">
        <f>B10+B11</f>
        <v>450000000</v>
      </c>
      <c r="C18" s="54">
        <f>C10+C11</f>
        <v>460000000</v>
      </c>
      <c r="D18" s="54">
        <f>D10+D11</f>
        <v>580000000</v>
      </c>
    </row>
    <row r="19" spans="1:5" ht="15" customHeight="1" x14ac:dyDescent="0.3">
      <c r="A19" s="53" t="s">
        <v>552</v>
      </c>
      <c r="B19" s="107">
        <f>IF(B5=0,"Chưa điền",IF(B17&gt;0,B18/B17,"Không hoàn vốn"))</f>
        <v>7.8397212543554007</v>
      </c>
      <c r="C19" s="107">
        <f>IF(C5=0,"Chưa điền",IF(C17&gt;0,C18/C17,"Không hoàn vốn"))</f>
        <v>30.50397877984085</v>
      </c>
      <c r="D19" s="107" t="str">
        <f>IF(D5=0,"Chưa điền",IF(D17&gt;0,D18/D17,"Không hoàn vốn"))</f>
        <v>Không hoàn vốn</v>
      </c>
      <c r="E19" t="s">
        <v>360</v>
      </c>
    </row>
    <row r="20" spans="1:5" ht="15" customHeight="1" x14ac:dyDescent="0.3">
      <c r="A20" s="53" t="s">
        <v>553</v>
      </c>
      <c r="B20" s="56">
        <f>IFERROR((12*B17-B18)/B18,0)</f>
        <v>0.53066666666666662</v>
      </c>
      <c r="C20" s="56">
        <f>IFERROR((12*C17-C18)/C18,0)</f>
        <v>-0.6066086956521739</v>
      </c>
      <c r="D20" s="56">
        <f>IFERROR((12*D17-D18)/D18,0)</f>
        <v>-1.347793103448276</v>
      </c>
      <c r="E20" t="s">
        <v>403</v>
      </c>
    </row>
    <row r="21" spans="1:5" ht="15" customHeight="1" x14ac:dyDescent="0.3">
      <c r="A21" s="53" t="s">
        <v>554</v>
      </c>
      <c r="B21" s="55">
        <f>PV(B13/12,24,-B17)-B18</f>
        <v>733831060.96379113</v>
      </c>
      <c r="C21" s="55">
        <f>PV(C13/12,24,-C17)-C18</f>
        <v>-148986543.56561029</v>
      </c>
      <c r="D21" s="55">
        <f>PV(D13/12,24,-D17)-D18</f>
        <v>-926693382.13939595</v>
      </c>
      <c r="E21" t="s">
        <v>403</v>
      </c>
    </row>
    <row r="22" spans="1:5" ht="15" customHeight="1" x14ac:dyDescent="0.3">
      <c r="A22" s="53" t="s">
        <v>555</v>
      </c>
      <c r="B22" s="80" t="str">
        <f>IF(B5=0,"Chưa điền",IF(NOT(ISNUMBER(B19)),"Dừng",IF(B19&lt;12,"Làm","Thử nghiệm nhỏ")))</f>
        <v>Làm</v>
      </c>
      <c r="C22" s="80" t="str">
        <f>IF(C5=0,"Chưa điền",IF(NOT(ISNUMBER(C19)),"Dừng",IF(C19&lt;12,"Làm","Thử nghiệm nhỏ")))</f>
        <v>Thử nghiệm nhỏ</v>
      </c>
      <c r="D22" s="80" t="str">
        <f>IF(D5=0,"Chưa điền",IF(NOT(ISNUMBER(D19)),"Dừng",IF(D19&lt;12,"Làm","Thử nghiệm nhỏ")))</f>
        <v>Dừng</v>
      </c>
      <c r="E22" s="57" t="s">
        <v>556</v>
      </c>
    </row>
  </sheetData>
  <sheetProtection sheet="1" formatColumns="0" formatRows="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7"/>
  <sheetViews>
    <sheetView zoomScaleNormal="100" workbookViewId="0"/>
  </sheetViews>
  <sheetFormatPr defaultColWidth="8.6640625" defaultRowHeight="14.4" x14ac:dyDescent="0.3"/>
  <cols>
    <col min="1" max="1" width="60" customWidth="1"/>
    <col min="2" max="2" width="24" customWidth="1"/>
    <col min="3" max="3" width="26" customWidth="1"/>
  </cols>
  <sheetData>
    <row r="1" spans="1:3" ht="17.25" customHeight="1" x14ac:dyDescent="0.3">
      <c r="A1" s="12" t="s">
        <v>557</v>
      </c>
    </row>
    <row r="2" spans="1:3" ht="31.5" customHeight="1" x14ac:dyDescent="0.3">
      <c r="A2" s="4" t="s">
        <v>558</v>
      </c>
      <c r="B2" s="4"/>
      <c r="C2" s="4"/>
    </row>
    <row r="4" spans="1:3" ht="15" customHeight="1" x14ac:dyDescent="0.3">
      <c r="A4" s="24" t="s">
        <v>559</v>
      </c>
      <c r="B4" s="24" t="s">
        <v>560</v>
      </c>
      <c r="C4" s="24" t="s">
        <v>561</v>
      </c>
    </row>
    <row r="5" spans="1:3" ht="15" customHeight="1" x14ac:dyDescent="0.3">
      <c r="A5" s="53" t="s">
        <v>562</v>
      </c>
      <c r="B5" s="56">
        <f>'1_Chi phí mỗi việc'!B25</f>
        <v>4.6437937062937058</v>
      </c>
      <c r="C5" s="67" t="str">
        <f>IF(B5&gt;=0.3,"Đạt","Xem lại")</f>
        <v>Đạt</v>
      </c>
    </row>
    <row r="6" spans="1:3" ht="15" customHeight="1" x14ac:dyDescent="0.3">
      <c r="A6" s="53" t="s">
        <v>563</v>
      </c>
      <c r="B6" s="56">
        <f>'4_Chỉ số mỗi khách'!C7</f>
        <v>0.73672184365115223</v>
      </c>
      <c r="C6" s="67" t="str">
        <f>IF(B6&gt;=0.6,"Đạt","Xem lại")</f>
        <v>Đạt</v>
      </c>
    </row>
    <row r="7" spans="1:3" ht="15" customHeight="1" x14ac:dyDescent="0.3">
      <c r="A7" s="53" t="s">
        <v>564</v>
      </c>
      <c r="B7" s="108">
        <f>'4_Chỉ số mỗi khách'!C11</f>
        <v>10.869102933333332</v>
      </c>
      <c r="C7" s="67" t="str">
        <f>IF(B7&gt;3,"Đạt","Xem lại")</f>
        <v>Đạt</v>
      </c>
    </row>
    <row r="8" spans="1:3" ht="15" customHeight="1" x14ac:dyDescent="0.3">
      <c r="A8" s="53" t="s">
        <v>565</v>
      </c>
      <c r="B8" s="78">
        <f>'4_Chỉ số mỗi khách'!C12</f>
        <v>1.8400782587736895</v>
      </c>
      <c r="C8" s="67" t="str">
        <f>IF(AND(B8&gt;0,B8&lt;12),"Đạt","Xem lại")</f>
        <v>Đạt</v>
      </c>
    </row>
    <row r="9" spans="1:3" ht="15" customHeight="1" x14ac:dyDescent="0.3">
      <c r="A9" s="53" t="s">
        <v>566</v>
      </c>
      <c r="B9" s="67" t="str">
        <f>IF(AND('3_Giả định'!C9&gt;0,'3_Giả định'!C10&gt;0,'3_Giả định'!D9&gt;=1.5*'3_Giả định'!C9,'3_Giả định'!D10&gt;=1.5*'3_Giả định'!C10),"Có","Không")</f>
        <v>Có</v>
      </c>
      <c r="C9" s="67" t="str">
        <f>IF(B9="Có","Đạt","Xem lại")</f>
        <v>Đạt</v>
      </c>
    </row>
    <row r="10" spans="1:3" ht="15" customHeight="1" x14ac:dyDescent="0.3">
      <c r="A10" s="53" t="s">
        <v>567</v>
      </c>
      <c r="B10" s="85">
        <f>'5_Dòng tiền &amp; hiệu quả'!D47</f>
        <v>10</v>
      </c>
      <c r="C10" s="67" t="str">
        <f>IF(B10="Chưa điền","Chưa điền",IF(ISNUMBER(B10),IF(B10&gt;=12,"Đạt","Cần kế hoạch cắt giảm"),"Đạt"))</f>
        <v>Cần kế hoạch cắt giảm</v>
      </c>
    </row>
    <row r="11" spans="1:3" ht="15" customHeight="1" x14ac:dyDescent="0.3">
      <c r="A11" s="53" t="s">
        <v>568</v>
      </c>
      <c r="B11" s="54">
        <f>'5_Dòng tiền &amp; hiệu quả'!C44</f>
        <v>1265447717.0086987</v>
      </c>
      <c r="C11" s="67" t="str">
        <f>IF(B11&gt;0,"Đạt","Xem lại")</f>
        <v>Đạt</v>
      </c>
    </row>
    <row r="12" spans="1:3" ht="15" customHeight="1" x14ac:dyDescent="0.3">
      <c r="A12" s="53" t="s">
        <v>569</v>
      </c>
      <c r="B12" s="67" t="str">
        <f>'5_Dòng tiền &amp; hiệu quả'!B66</f>
        <v>Doanh thu bình quân giảm</v>
      </c>
      <c r="C12" s="67" t="str">
        <f>IF(B12="Chưa đủ số liệu","Xem lại","Ghi vào câu 3")</f>
        <v>Ghi vào câu 3</v>
      </c>
    </row>
    <row r="13" spans="1:3" ht="16.5" customHeight="1" x14ac:dyDescent="0.3">
      <c r="A13" s="3" t="s">
        <v>570</v>
      </c>
      <c r="B13" s="3"/>
      <c r="C13" s="3"/>
    </row>
    <row r="14" spans="1:3" ht="48.75" customHeight="1" x14ac:dyDescent="0.3">
      <c r="A14" s="10" t="s">
        <v>571</v>
      </c>
      <c r="B14" s="10"/>
      <c r="C14" s="10"/>
    </row>
    <row r="15" spans="1:3" ht="48" customHeight="1" x14ac:dyDescent="0.3">
      <c r="A15" s="2" t="s">
        <v>572</v>
      </c>
      <c r="B15" s="2"/>
      <c r="C15" s="2"/>
    </row>
    <row r="17" spans="1:3" ht="18.75" customHeight="1" x14ac:dyDescent="0.3">
      <c r="A17" s="10" t="s">
        <v>573</v>
      </c>
      <c r="B17" s="10"/>
      <c r="C17" s="10"/>
    </row>
    <row r="18" spans="1:3" ht="48" customHeight="1" x14ac:dyDescent="0.3">
      <c r="A18" s="2" t="s">
        <v>574</v>
      </c>
      <c r="B18" s="2"/>
      <c r="C18" s="2"/>
    </row>
    <row r="20" spans="1:3" ht="18.75" customHeight="1" x14ac:dyDescent="0.3">
      <c r="A20" s="10" t="s">
        <v>575</v>
      </c>
      <c r="B20" s="10"/>
      <c r="C20" s="10"/>
    </row>
    <row r="21" spans="1:3" ht="48" customHeight="1" x14ac:dyDescent="0.3">
      <c r="A21" s="2" t="s">
        <v>576</v>
      </c>
      <c r="B21" s="2"/>
      <c r="C21" s="2"/>
    </row>
    <row r="23" spans="1:3" ht="63.75" customHeight="1" x14ac:dyDescent="0.3">
      <c r="A23" s="10" t="s">
        <v>577</v>
      </c>
      <c r="B23" s="10"/>
      <c r="C23" s="10"/>
    </row>
    <row r="24" spans="1:3" ht="48" customHeight="1" x14ac:dyDescent="0.3">
      <c r="A24" s="2" t="s">
        <v>578</v>
      </c>
      <c r="B24" s="2"/>
      <c r="C24" s="2"/>
    </row>
    <row r="26" spans="1:3" ht="33.75" customHeight="1" x14ac:dyDescent="0.3">
      <c r="A26" s="10" t="s">
        <v>579</v>
      </c>
      <c r="B26" s="10"/>
      <c r="C26" s="10"/>
    </row>
    <row r="27" spans="1:3" ht="48" customHeight="1" x14ac:dyDescent="0.3">
      <c r="A27" s="9" t="s">
        <v>580</v>
      </c>
      <c r="B27" s="9"/>
      <c r="C27" s="9"/>
    </row>
  </sheetData>
  <sheetProtection sheet="1" formatColumns="0" formatRows="0"/>
  <mergeCells count="12">
    <mergeCell ref="A26:C26"/>
    <mergeCell ref="A27:C27"/>
    <mergeCell ref="A18:C18"/>
    <mergeCell ref="A20:C20"/>
    <mergeCell ref="A21:C21"/>
    <mergeCell ref="A23:C23"/>
    <mergeCell ref="A24:C24"/>
    <mergeCell ref="A2:C2"/>
    <mergeCell ref="A13:C13"/>
    <mergeCell ref="A14:C14"/>
    <mergeCell ref="A15:C15"/>
    <mergeCell ref="A17:C17"/>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2"/>
  <sheetViews>
    <sheetView zoomScaleNormal="100" workbookViewId="0"/>
  </sheetViews>
  <sheetFormatPr defaultColWidth="8.6640625" defaultRowHeight="14.4" x14ac:dyDescent="0.3"/>
  <cols>
    <col min="1" max="1" width="28" customWidth="1"/>
    <col min="2" max="2" width="30" customWidth="1"/>
    <col min="3" max="3" width="80" customWidth="1"/>
    <col min="4" max="4" width="40" customWidth="1"/>
  </cols>
  <sheetData>
    <row r="1" spans="1:4" ht="17.25" customHeight="1" x14ac:dyDescent="0.3">
      <c r="A1" s="12" t="s">
        <v>581</v>
      </c>
    </row>
    <row r="2" spans="1:4" ht="15" customHeight="1" x14ac:dyDescent="0.3">
      <c r="A2" s="19" t="s">
        <v>582</v>
      </c>
    </row>
    <row r="4" spans="1:4" ht="15" customHeight="1" x14ac:dyDescent="0.3">
      <c r="A4" s="24" t="s">
        <v>583</v>
      </c>
      <c r="B4" s="24" t="s">
        <v>584</v>
      </c>
      <c r="C4" s="24" t="s">
        <v>585</v>
      </c>
      <c r="D4" s="24" t="s">
        <v>586</v>
      </c>
    </row>
    <row r="5" spans="1:4" ht="15" customHeight="1" x14ac:dyDescent="0.3">
      <c r="A5" s="53" t="s">
        <v>587</v>
      </c>
      <c r="B5">
        <v>10</v>
      </c>
      <c r="C5" s="14" t="s">
        <v>588</v>
      </c>
      <c r="D5" s="109"/>
    </row>
    <row r="6" spans="1:4" ht="15" customHeight="1" x14ac:dyDescent="0.3">
      <c r="A6" s="53" t="s">
        <v>589</v>
      </c>
      <c r="B6">
        <v>15</v>
      </c>
      <c r="C6" s="14" t="s">
        <v>590</v>
      </c>
      <c r="D6" s="109"/>
    </row>
    <row r="7" spans="1:4" ht="15" customHeight="1" x14ac:dyDescent="0.3">
      <c r="A7" s="53" t="s">
        <v>591</v>
      </c>
      <c r="B7">
        <v>15</v>
      </c>
      <c r="C7" s="14" t="s">
        <v>592</v>
      </c>
      <c r="D7" s="109"/>
    </row>
    <row r="8" spans="1:4" ht="15" customHeight="1" x14ac:dyDescent="0.3">
      <c r="A8" s="53" t="s">
        <v>593</v>
      </c>
      <c r="B8">
        <v>20</v>
      </c>
      <c r="C8" s="14" t="s">
        <v>594</v>
      </c>
      <c r="D8" s="109"/>
    </row>
    <row r="9" spans="1:4" ht="15" customHeight="1" x14ac:dyDescent="0.3">
      <c r="A9" s="53" t="s">
        <v>595</v>
      </c>
      <c r="B9">
        <v>20</v>
      </c>
      <c r="C9" s="14" t="s">
        <v>596</v>
      </c>
      <c r="D9" s="109"/>
    </row>
    <row r="10" spans="1:4" ht="15" customHeight="1" x14ac:dyDescent="0.3">
      <c r="A10" s="53" t="s">
        <v>597</v>
      </c>
      <c r="B10">
        <v>20</v>
      </c>
      <c r="C10" s="14" t="s">
        <v>598</v>
      </c>
      <c r="D10" s="109"/>
    </row>
    <row r="11" spans="1:4" ht="15" customHeight="1" x14ac:dyDescent="0.3">
      <c r="A11" s="15" t="s">
        <v>599</v>
      </c>
      <c r="B11">
        <f>SUM(B5:B10)</f>
        <v>100</v>
      </c>
      <c r="D11" s="67">
        <f>SUM(D5:D10)</f>
        <v>0</v>
      </c>
    </row>
    <row r="12" spans="1:4" ht="15" customHeight="1" x14ac:dyDescent="0.3">
      <c r="A12" s="15" t="s">
        <v>600</v>
      </c>
      <c r="B12" t="s">
        <v>601</v>
      </c>
      <c r="C12" t="s">
        <v>602</v>
      </c>
      <c r="D12" s="109"/>
    </row>
    <row r="15" spans="1:4" ht="15" customHeight="1" x14ac:dyDescent="0.3">
      <c r="A15" s="84" t="s">
        <v>603</v>
      </c>
    </row>
    <row r="16" spans="1:4" ht="15" customHeight="1" x14ac:dyDescent="0.3">
      <c r="A16" s="24" t="s">
        <v>583</v>
      </c>
      <c r="B16" s="24" t="s">
        <v>604</v>
      </c>
      <c r="C16" s="24" t="s">
        <v>605</v>
      </c>
      <c r="D16" s="24" t="s">
        <v>606</v>
      </c>
    </row>
    <row r="17" spans="1:4" ht="45.75" customHeight="1" x14ac:dyDescent="0.3">
      <c r="A17" s="30" t="s">
        <v>607</v>
      </c>
      <c r="B17" s="110" t="s">
        <v>608</v>
      </c>
      <c r="C17" s="110" t="s">
        <v>609</v>
      </c>
      <c r="D17" s="110" t="s">
        <v>610</v>
      </c>
    </row>
    <row r="18" spans="1:4" ht="45.75" customHeight="1" x14ac:dyDescent="0.3">
      <c r="A18" s="30" t="s">
        <v>611</v>
      </c>
      <c r="B18" s="110" t="s">
        <v>612</v>
      </c>
      <c r="C18" s="110" t="s">
        <v>613</v>
      </c>
      <c r="D18" s="110" t="s">
        <v>614</v>
      </c>
    </row>
    <row r="19" spans="1:4" ht="45.75" customHeight="1" x14ac:dyDescent="0.3">
      <c r="A19" s="30" t="s">
        <v>615</v>
      </c>
      <c r="B19" s="110" t="s">
        <v>616</v>
      </c>
      <c r="C19" s="110" t="s">
        <v>617</v>
      </c>
      <c r="D19" s="110" t="s">
        <v>618</v>
      </c>
    </row>
    <row r="20" spans="1:4" ht="45.75" customHeight="1" x14ac:dyDescent="0.3">
      <c r="A20" s="30" t="s">
        <v>619</v>
      </c>
      <c r="B20" s="110" t="s">
        <v>620</v>
      </c>
      <c r="C20" s="110" t="s">
        <v>621</v>
      </c>
      <c r="D20" s="110" t="s">
        <v>622</v>
      </c>
    </row>
    <row r="22" spans="1:4" ht="15" customHeight="1" x14ac:dyDescent="0.3">
      <c r="A22" s="57" t="s">
        <v>623</v>
      </c>
    </row>
  </sheetData>
  <sheetProtection sheet="1" formatColumns="0" formatRows="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8"/>
  <sheetViews>
    <sheetView zoomScaleNormal="100" workbookViewId="0"/>
  </sheetViews>
  <sheetFormatPr defaultColWidth="8.6640625" defaultRowHeight="14.4" x14ac:dyDescent="0.3"/>
  <cols>
    <col min="1" max="1" width="44" customWidth="1"/>
    <col min="2" max="3" width="22" customWidth="1"/>
    <col min="4" max="4" width="70" customWidth="1"/>
    <col min="5" max="5" width="48" customWidth="1"/>
  </cols>
  <sheetData>
    <row r="1" spans="1:5" ht="15" customHeight="1" x14ac:dyDescent="0.3">
      <c r="A1" s="84" t="s">
        <v>624</v>
      </c>
    </row>
    <row r="2" spans="1:5" ht="15" customHeight="1" x14ac:dyDescent="0.3">
      <c r="A2" s="57" t="s">
        <v>625</v>
      </c>
    </row>
    <row r="4" spans="1:5" ht="27.75" customHeight="1" x14ac:dyDescent="0.3">
      <c r="A4" s="24" t="s">
        <v>626</v>
      </c>
      <c r="B4" s="24" t="s">
        <v>627</v>
      </c>
      <c r="C4" s="24" t="s">
        <v>628</v>
      </c>
      <c r="D4" s="24" t="s">
        <v>629</v>
      </c>
      <c r="E4" s="24" t="s">
        <v>56</v>
      </c>
    </row>
    <row r="5" spans="1:5" ht="15" customHeight="1" x14ac:dyDescent="0.3">
      <c r="A5" s="86" t="s">
        <v>630</v>
      </c>
      <c r="B5" s="111">
        <v>0.1</v>
      </c>
      <c r="C5" s="111">
        <v>0.5</v>
      </c>
      <c r="D5" s="86" t="s">
        <v>631</v>
      </c>
      <c r="E5" s="86" t="s">
        <v>632</v>
      </c>
    </row>
    <row r="6" spans="1:5" ht="15" customHeight="1" x14ac:dyDescent="0.3">
      <c r="A6" s="86" t="s">
        <v>633</v>
      </c>
      <c r="B6" s="111">
        <v>2</v>
      </c>
      <c r="C6" s="111">
        <v>10</v>
      </c>
      <c r="D6" s="86" t="s">
        <v>634</v>
      </c>
      <c r="E6" s="86" t="s">
        <v>635</v>
      </c>
    </row>
    <row r="7" spans="1:5" ht="15" customHeight="1" x14ac:dyDescent="0.3">
      <c r="A7" s="86" t="s">
        <v>636</v>
      </c>
      <c r="B7" s="111">
        <v>1</v>
      </c>
      <c r="C7" s="111">
        <v>5</v>
      </c>
      <c r="D7" s="86" t="s">
        <v>637</v>
      </c>
      <c r="E7" s="86"/>
    </row>
    <row r="8" spans="1:5" ht="15" customHeight="1" x14ac:dyDescent="0.3">
      <c r="A8" s="86" t="s">
        <v>638</v>
      </c>
      <c r="B8" s="111">
        <v>2</v>
      </c>
      <c r="C8" s="111">
        <v>10</v>
      </c>
      <c r="D8" s="86" t="s">
        <v>637</v>
      </c>
      <c r="E8" s="86" t="s">
        <v>639</v>
      </c>
    </row>
    <row r="11" spans="1:5" ht="15" customHeight="1" x14ac:dyDescent="0.3">
      <c r="A11" s="24" t="s">
        <v>640</v>
      </c>
      <c r="B11" s="24" t="s">
        <v>162</v>
      </c>
      <c r="C11" s="24" t="s">
        <v>163</v>
      </c>
      <c r="D11" s="24" t="s">
        <v>641</v>
      </c>
      <c r="E11" s="24" t="s">
        <v>56</v>
      </c>
    </row>
    <row r="12" spans="1:5" ht="15" customHeight="1" x14ac:dyDescent="0.3">
      <c r="A12" s="86" t="s">
        <v>642</v>
      </c>
      <c r="B12" s="112">
        <v>26170</v>
      </c>
      <c r="C12" s="86" t="s">
        <v>188</v>
      </c>
      <c r="D12" s="86" t="s">
        <v>643</v>
      </c>
      <c r="E12" s="86" t="s">
        <v>644</v>
      </c>
    </row>
    <row r="13" spans="1:5" ht="15" customHeight="1" x14ac:dyDescent="0.3">
      <c r="A13" s="86" t="s">
        <v>645</v>
      </c>
      <c r="B13" s="112">
        <v>25636</v>
      </c>
      <c r="C13" s="86" t="s">
        <v>188</v>
      </c>
      <c r="D13" s="86" t="s">
        <v>646</v>
      </c>
      <c r="E13" s="86" t="s">
        <v>647</v>
      </c>
    </row>
    <row r="14" spans="1:5" ht="15" customHeight="1" x14ac:dyDescent="0.3">
      <c r="A14" s="86" t="s">
        <v>648</v>
      </c>
      <c r="B14" s="112">
        <v>5310000</v>
      </c>
      <c r="C14" s="86" t="s">
        <v>253</v>
      </c>
      <c r="D14" s="86" t="s">
        <v>649</v>
      </c>
      <c r="E14" s="86" t="s">
        <v>650</v>
      </c>
    </row>
    <row r="15" spans="1:5" ht="15" customHeight="1" x14ac:dyDescent="0.3">
      <c r="A15" s="86" t="s">
        <v>651</v>
      </c>
      <c r="B15" s="112">
        <v>25500</v>
      </c>
      <c r="C15" s="86" t="s">
        <v>207</v>
      </c>
      <c r="D15" s="86" t="s">
        <v>649</v>
      </c>
      <c r="E15" s="86" t="s">
        <v>652</v>
      </c>
    </row>
    <row r="18" spans="1:5" ht="15" customHeight="1" x14ac:dyDescent="0.3">
      <c r="A18" s="24" t="s">
        <v>653</v>
      </c>
      <c r="B18" s="24" t="s">
        <v>654</v>
      </c>
    </row>
    <row r="19" spans="1:5" ht="48" customHeight="1" x14ac:dyDescent="0.3">
      <c r="A19" s="110" t="s">
        <v>655</v>
      </c>
      <c r="B19" s="1" t="s">
        <v>656</v>
      </c>
      <c r="C19" s="1"/>
      <c r="D19" s="1"/>
      <c r="E19" s="1"/>
    </row>
    <row r="20" spans="1:5" ht="48" customHeight="1" x14ac:dyDescent="0.3">
      <c r="A20" s="110" t="s">
        <v>657</v>
      </c>
      <c r="B20" s="1" t="s">
        <v>658</v>
      </c>
      <c r="C20" s="1"/>
      <c r="D20" s="1"/>
      <c r="E20" s="1"/>
    </row>
    <row r="21" spans="1:5" ht="48" customHeight="1" x14ac:dyDescent="0.3">
      <c r="A21" s="110" t="s">
        <v>659</v>
      </c>
      <c r="B21" s="1" t="s">
        <v>660</v>
      </c>
      <c r="C21" s="1"/>
      <c r="D21" s="1"/>
      <c r="E21" s="1"/>
    </row>
    <row r="23" spans="1:5" ht="15" customHeight="1" x14ac:dyDescent="0.3">
      <c r="A23" s="24" t="s">
        <v>661</v>
      </c>
      <c r="B23" s="24" t="s">
        <v>662</v>
      </c>
    </row>
    <row r="24" spans="1:5" ht="48" customHeight="1" x14ac:dyDescent="0.3">
      <c r="A24" s="110" t="s">
        <v>663</v>
      </c>
      <c r="B24" s="1" t="s">
        <v>664</v>
      </c>
      <c r="C24" s="1"/>
      <c r="D24" s="1"/>
      <c r="E24" s="1"/>
    </row>
    <row r="25" spans="1:5" ht="48" customHeight="1" x14ac:dyDescent="0.3">
      <c r="A25" s="110" t="s">
        <v>665</v>
      </c>
      <c r="B25" s="1" t="s">
        <v>666</v>
      </c>
      <c r="C25" s="1"/>
      <c r="D25" s="1"/>
      <c r="E25" s="1"/>
    </row>
    <row r="26" spans="1:5" ht="48" customHeight="1" x14ac:dyDescent="0.3">
      <c r="A26" s="110" t="s">
        <v>667</v>
      </c>
      <c r="B26" s="1" t="s">
        <v>668</v>
      </c>
      <c r="C26" s="1"/>
      <c r="D26" s="1"/>
      <c r="E26" s="1"/>
    </row>
    <row r="27" spans="1:5" ht="48" customHeight="1" x14ac:dyDescent="0.3">
      <c r="A27" s="110" t="s">
        <v>669</v>
      </c>
      <c r="B27" s="1" t="s">
        <v>670</v>
      </c>
      <c r="C27" s="1"/>
      <c r="D27" s="1"/>
      <c r="E27" s="1"/>
    </row>
    <row r="28" spans="1:5" ht="48" customHeight="1" x14ac:dyDescent="0.3">
      <c r="A28" s="110" t="s">
        <v>671</v>
      </c>
      <c r="B28" s="1" t="s">
        <v>672</v>
      </c>
      <c r="C28" s="1"/>
      <c r="D28" s="1"/>
      <c r="E28" s="1"/>
    </row>
  </sheetData>
  <sheetProtection sheet="1" formatColumns="0" formatRows="0"/>
  <mergeCells count="8">
    <mergeCell ref="B26:E26"/>
    <mergeCell ref="B27:E27"/>
    <mergeCell ref="B28:E28"/>
    <mergeCell ref="B19:E19"/>
    <mergeCell ref="B20:E20"/>
    <mergeCell ref="B21:E21"/>
    <mergeCell ref="B24:E24"/>
    <mergeCell ref="B25:E2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Trang tính</vt:lpstr>
      </vt:variant>
      <vt:variant>
        <vt:i4>12</vt:i4>
      </vt:variant>
    </vt:vector>
  </HeadingPairs>
  <TitlesOfParts>
    <vt:vector size="12" baseType="lpstr">
      <vt:lpstr>0_Hướng dẫn</vt:lpstr>
      <vt:lpstr>0_Đầu vào</vt:lpstr>
      <vt:lpstr>A_Tài chính căn bản</vt:lpstr>
      <vt:lpstr>1_Chi phí mỗi việc</vt:lpstr>
      <vt:lpstr>2_Định giá</vt:lpstr>
      <vt:lpstr>3_Giả định</vt:lpstr>
      <vt:lpstr>4_Chỉ số mỗi khách</vt:lpstr>
      <vt:lpstr>5_Dòng tiền &amp; hiệu quả</vt:lpstr>
      <vt:lpstr>6_Hiệu quả nội bộ</vt:lpstr>
      <vt:lpstr>7_Quyết định</vt:lpstr>
      <vt:lpstr>8_Thang điểm</vt:lpstr>
      <vt:lpstr>9_Số tham khảo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Duy Thành Phan</cp:lastModifiedBy>
  <cp:revision>0</cp:revision>
  <dcterms:created xsi:type="dcterms:W3CDTF">2026-10-04T05:18:06Z</dcterms:created>
  <dcterms:modified xsi:type="dcterms:W3CDTF">2026-10-12T03:31:33Z</dcterms:modified>
  <dc:language>en-US</dc:language>
</cp:coreProperties>
</file>